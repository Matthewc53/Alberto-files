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mith\Desktop\"/>
    </mc:Choice>
  </mc:AlternateContent>
  <xr:revisionPtr revIDLastSave="0" documentId="8_{C0F38484-7599-4FA1-BBB1-7A783315AB94}" xr6:coauthVersionLast="47" xr6:coauthVersionMax="47" xr10:uidLastSave="{00000000-0000-0000-0000-000000000000}"/>
  <bookViews>
    <workbookView xWindow="21270" yWindow="30" windowWidth="36525" windowHeight="20820" xr2:uid="{A1435B0C-DC38-4DD8-A098-EF78B0A53903}"/>
  </bookViews>
  <sheets>
    <sheet name="SCI_Report#BL68LX#jwade#25-MAR-" sheetId="1" r:id="rId1"/>
    <sheet name="LTL Trending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2" l="1"/>
  <c r="R16" i="2"/>
  <c r="R17" i="2"/>
  <c r="R18" i="2"/>
  <c r="R19" i="2"/>
  <c r="R14" i="2"/>
  <c r="R7" i="2"/>
  <c r="R8" i="2"/>
  <c r="R9" i="2"/>
  <c r="R10" i="2"/>
  <c r="R11" i="2"/>
  <c r="R6" i="2"/>
  <c r="O7" i="2"/>
  <c r="O8" i="2"/>
  <c r="O9" i="2"/>
  <c r="O10" i="2"/>
  <c r="O11" i="2"/>
  <c r="O6" i="2"/>
  <c r="N7" i="2"/>
  <c r="N8" i="2"/>
  <c r="N9" i="2"/>
  <c r="N10" i="2"/>
  <c r="N11" i="2"/>
  <c r="N6" i="2"/>
  <c r="M7" i="2"/>
  <c r="M8" i="2"/>
  <c r="M9" i="2"/>
  <c r="M10" i="2"/>
  <c r="M11" i="2"/>
  <c r="M6" i="2"/>
  <c r="E44" i="2"/>
  <c r="D44" i="2"/>
  <c r="F44" i="2" s="1"/>
  <c r="E43" i="2"/>
  <c r="D43" i="2"/>
  <c r="F43" i="2" s="1"/>
  <c r="E42" i="2"/>
  <c r="D42" i="2"/>
  <c r="F42" i="2" s="1"/>
  <c r="E41" i="2"/>
  <c r="D41" i="2"/>
  <c r="F41" i="2" s="1"/>
  <c r="E40" i="2"/>
  <c r="D40" i="2"/>
  <c r="F40" i="2" s="1"/>
  <c r="E39" i="2"/>
  <c r="D39" i="2"/>
  <c r="F39" i="2" s="1"/>
  <c r="F38" i="2"/>
  <c r="E38" i="2"/>
  <c r="D38" i="2"/>
  <c r="F37" i="2"/>
  <c r="E37" i="2"/>
  <c r="D37" i="2"/>
  <c r="E36" i="2"/>
  <c r="D36" i="2"/>
  <c r="F36" i="2" s="1"/>
  <c r="E35" i="2"/>
  <c r="D35" i="2"/>
  <c r="F35" i="2" s="1"/>
  <c r="E34" i="2"/>
  <c r="D34" i="2"/>
  <c r="F34" i="2" s="1"/>
  <c r="E33" i="2"/>
  <c r="D33" i="2"/>
  <c r="F33" i="2" s="1"/>
  <c r="E32" i="2"/>
  <c r="D32" i="2"/>
  <c r="F32" i="2" s="1"/>
  <c r="E31" i="2"/>
  <c r="D31" i="2"/>
  <c r="F31" i="2" s="1"/>
  <c r="E30" i="2"/>
  <c r="D30" i="2"/>
  <c r="F30" i="2" s="1"/>
  <c r="D25" i="2"/>
  <c r="B25" i="2"/>
  <c r="D24" i="2"/>
  <c r="E24" i="2" s="1"/>
  <c r="B24" i="2"/>
  <c r="Y3" i="1"/>
  <c r="G9" i="2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X3" i="1"/>
  <c r="X4" i="1"/>
  <c r="X5" i="1"/>
  <c r="E11" i="2" s="1"/>
  <c r="X6" i="1"/>
  <c r="E10" i="2" s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W3" i="1"/>
  <c r="B11" i="2" s="1"/>
  <c r="W4" i="1"/>
  <c r="B10" i="2" s="1"/>
  <c r="W5" i="1"/>
  <c r="B9" i="2" s="1"/>
  <c r="W6" i="1"/>
  <c r="G11" i="2" s="1"/>
  <c r="W7" i="1"/>
  <c r="G10" i="2" s="1"/>
  <c r="W8" i="1"/>
  <c r="B6" i="2" s="1"/>
  <c r="W9" i="1"/>
  <c r="G8" i="2" s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Y2" i="1"/>
  <c r="G6" i="2" s="1"/>
  <c r="X2" i="1"/>
  <c r="E6" i="2" s="1"/>
  <c r="W2" i="1"/>
  <c r="C11" i="2" s="1"/>
  <c r="H10" i="2" l="1"/>
  <c r="B19" i="2"/>
  <c r="C20" i="2"/>
  <c r="F10" i="2"/>
  <c r="D10" i="2"/>
  <c r="F20" i="2" s="1"/>
  <c r="H11" i="2"/>
  <c r="F11" i="2"/>
  <c r="B20" i="2"/>
  <c r="D11" i="2"/>
  <c r="G20" i="2"/>
  <c r="J9" i="2"/>
  <c r="H6" i="2"/>
  <c r="F6" i="2"/>
  <c r="I11" i="2"/>
  <c r="J11" i="2"/>
  <c r="C19" i="2"/>
  <c r="H9" i="2"/>
  <c r="E7" i="2"/>
  <c r="C9" i="2"/>
  <c r="E25" i="2"/>
  <c r="E8" i="2"/>
  <c r="C10" i="2"/>
  <c r="B26" i="2"/>
  <c r="E26" i="2" s="1"/>
  <c r="G7" i="2"/>
  <c r="E9" i="2"/>
  <c r="D26" i="2"/>
  <c r="C6" i="2"/>
  <c r="D6" i="2" s="1"/>
  <c r="B7" i="2"/>
  <c r="C7" i="2"/>
  <c r="B8" i="2"/>
  <c r="C8" i="2"/>
  <c r="H8" i="2" l="1"/>
  <c r="F8" i="2"/>
  <c r="B17" i="2"/>
  <c r="C18" i="2"/>
  <c r="D8" i="2"/>
  <c r="F18" i="2" s="1"/>
  <c r="D19" i="2"/>
  <c r="E20" i="2"/>
  <c r="D17" i="2"/>
  <c r="E18" i="2"/>
  <c r="I8" i="2"/>
  <c r="G18" i="2"/>
  <c r="B18" i="2"/>
  <c r="I10" i="2"/>
  <c r="D7" i="2"/>
  <c r="B16" i="2"/>
  <c r="H7" i="2"/>
  <c r="C17" i="2"/>
  <c r="F7" i="2"/>
  <c r="J10" i="2"/>
  <c r="B12" i="2"/>
  <c r="J8" i="2"/>
  <c r="D18" i="2"/>
  <c r="E19" i="2"/>
  <c r="D20" i="2"/>
  <c r="C16" i="2"/>
  <c r="D16" i="2"/>
  <c r="E17" i="2"/>
  <c r="G17" i="2"/>
  <c r="I7" i="2"/>
  <c r="G16" i="2"/>
  <c r="E16" i="2"/>
  <c r="C12" i="2"/>
  <c r="I9" i="2"/>
  <c r="G19" i="2"/>
  <c r="D9" i="2"/>
  <c r="F19" i="2" s="1"/>
  <c r="J6" i="2"/>
  <c r="I6" i="2"/>
  <c r="J7" i="2"/>
  <c r="F9" i="2"/>
  <c r="G12" i="2"/>
  <c r="J12" i="2" s="1"/>
  <c r="E12" i="2"/>
  <c r="I12" i="2" s="1"/>
  <c r="F17" i="2" l="1"/>
  <c r="F12" i="2"/>
  <c r="D12" i="2"/>
  <c r="H12" i="2"/>
  <c r="C24" i="2"/>
  <c r="C25" i="2"/>
  <c r="F16" i="2"/>
  <c r="C26" i="2" l="1"/>
</calcChain>
</file>

<file path=xl/sharedStrings.xml><?xml version="1.0" encoding="utf-8"?>
<sst xmlns="http://schemas.openxmlformats.org/spreadsheetml/2006/main" count="4425" uniqueCount="1614">
  <si>
    <t>Plan Status</t>
  </si>
  <si>
    <t>Origin</t>
  </si>
  <si>
    <t>Origin City</t>
  </si>
  <si>
    <t>Origin State</t>
  </si>
  <si>
    <t>Destination</t>
  </si>
  <si>
    <t>Destination City</t>
  </si>
  <si>
    <t>Destination State</t>
  </si>
  <si>
    <t>Distance</t>
  </si>
  <si>
    <t>Planned Departure Date</t>
  </si>
  <si>
    <t>Planned Arrival End</t>
  </si>
  <si>
    <t>Equipment</t>
  </si>
  <si>
    <t>Weight</t>
  </si>
  <si>
    <t>Mode</t>
  </si>
  <si>
    <t>Carrier</t>
  </si>
  <si>
    <t>SCAC</t>
  </si>
  <si>
    <t>Price</t>
  </si>
  <si>
    <t>Carrier Ref./Conf. #</t>
  </si>
  <si>
    <t>Created Date</t>
  </si>
  <si>
    <t>Description</t>
  </si>
  <si>
    <t>Quantity</t>
  </si>
  <si>
    <t>Pickup Appointment Date</t>
  </si>
  <si>
    <t>Covered</t>
  </si>
  <si>
    <t>CEDAR CREEK DAV</t>
  </si>
  <si>
    <t>MILAN</t>
  </si>
  <si>
    <t>IL</t>
  </si>
  <si>
    <t>CARTER #255-COMSTOCK PARK MI</t>
  </si>
  <si>
    <t>COMSTOCK PARK</t>
  </si>
  <si>
    <t>MI</t>
  </si>
  <si>
    <t>326 mi</t>
  </si>
  <si>
    <t>06-Oct-25 12:01 AM CDT</t>
  </si>
  <si>
    <t>06-Oct-25 11:59 PM EDT</t>
  </si>
  <si>
    <t>Dry Van</t>
  </si>
  <si>
    <t>1,224 lb</t>
  </si>
  <si>
    <t>LTL</t>
  </si>
  <si>
    <t>ESTES EXPRESS LINES</t>
  </si>
  <si>
    <t>EXLA</t>
  </si>
  <si>
    <t>02-Oct-25 6:56 AM EDT</t>
  </si>
  <si>
    <t>house wrap</t>
  </si>
  <si>
    <t>1 ea</t>
  </si>
  <si>
    <t>07-Oct-25 9:27 AM CDT</t>
  </si>
  <si>
    <t>TAPCO COMPANIES</t>
  </si>
  <si>
    <t>MEADVILLE</t>
  </si>
  <si>
    <t>PA</t>
  </si>
  <si>
    <t>BLUELINX CHICAGO</t>
  </si>
  <si>
    <t>UNIVERSITY PARK</t>
  </si>
  <si>
    <t>420 mi</t>
  </si>
  <si>
    <t>03-Oct-25 12:01 AM EDT</t>
  </si>
  <si>
    <t>03-Oct-25 11:59 PM CDT</t>
  </si>
  <si>
    <t>4,608 lb</t>
  </si>
  <si>
    <t>02-Oct-25 1:26 PM EDT</t>
  </si>
  <si>
    <t>POSTS</t>
  </si>
  <si>
    <t>3 ea</t>
  </si>
  <si>
    <t>03-Oct-25 2:57 PM EDT</t>
  </si>
  <si>
    <t>BLUELINX DENVILLE</t>
  </si>
  <si>
    <t>DENVILLE</t>
  </si>
  <si>
    <t>NJ</t>
  </si>
  <si>
    <t>344 mi</t>
  </si>
  <si>
    <t>03-Oct-25 11:59 PM EDT</t>
  </si>
  <si>
    <t>2,880 lb</t>
  </si>
  <si>
    <t>02-Oct-25 2:31 PM EDT</t>
  </si>
  <si>
    <t>03-Oct-25 3:45 PM EDT</t>
  </si>
  <si>
    <t>ENVISION OUTDOOR LIVING</t>
  </si>
  <si>
    <t>MOUNT JOY</t>
  </si>
  <si>
    <t>TIBBETTS-LUTZ,LMC #408700</t>
  </si>
  <si>
    <t>LUTZ</t>
  </si>
  <si>
    <t>FL</t>
  </si>
  <si>
    <t>1,004 mi</t>
  </si>
  <si>
    <t>01-Oct-25 12:01 AM EDT</t>
  </si>
  <si>
    <t>01-Oct-25 11:59 PM EDT</t>
  </si>
  <si>
    <t>536 lb</t>
  </si>
  <si>
    <t>02-Oct-25 2:41 PM EDT</t>
  </si>
  <si>
    <t>0 ea</t>
  </si>
  <si>
    <t>BlueLinx Corporation</t>
  </si>
  <si>
    <t>Fort Worth</t>
  </si>
  <si>
    <t>TX</t>
  </si>
  <si>
    <t>SPP -- El Paso # 540 A</t>
  </si>
  <si>
    <t>El Paso</t>
  </si>
  <si>
    <t>586 mi</t>
  </si>
  <si>
    <t>07-Oct-25 12:01 AM CDT</t>
  </si>
  <si>
    <t>07-Oct-25 11:59 PM MDT</t>
  </si>
  <si>
    <t>230.01 lb</t>
  </si>
  <si>
    <t>04-Oct-25 12:56 PM EDT</t>
  </si>
  <si>
    <t>panels</t>
  </si>
  <si>
    <t>07-Oct-25 11:50 AM CDT</t>
  </si>
  <si>
    <t>BENJAMIM OBDYKE INCORPORATED</t>
  </si>
  <si>
    <t>HANOVER</t>
  </si>
  <si>
    <t>BLUELINX ATLANTA</t>
  </si>
  <si>
    <t>LAWRENCEVILLE</t>
  </si>
  <si>
    <t>GA</t>
  </si>
  <si>
    <t>667 mi</t>
  </si>
  <si>
    <t>08-Oct-25 12:01 AM EDT</t>
  </si>
  <si>
    <t>08-Oct-25 11:59 PM EDT</t>
  </si>
  <si>
    <t>1,020 lb</t>
  </si>
  <si>
    <t>07-Oct-25 1:26 PM EDT</t>
  </si>
  <si>
    <t>Houswrap rolls palletized</t>
  </si>
  <si>
    <t>09-Oct-25 5:40 PM EDT</t>
  </si>
  <si>
    <t>Allvan USA, LLC</t>
  </si>
  <si>
    <t>La Vergne</t>
  </si>
  <si>
    <t>TN</t>
  </si>
  <si>
    <t>BLUELINX - RICHMOND</t>
  </si>
  <si>
    <t>RICHMOND</t>
  </si>
  <si>
    <t>VA</t>
  </si>
  <si>
    <t>587 mi</t>
  </si>
  <si>
    <t>08-Oct-25 8:00 AM CDT</t>
  </si>
  <si>
    <t>10-Oct-25 5:00 PM EDT</t>
  </si>
  <si>
    <t>50 lb</t>
  </si>
  <si>
    <t>07-Oct-25 1:24 PM EDT</t>
  </si>
  <si>
    <t>112 in long curtain van accessory palletized</t>
  </si>
  <si>
    <t>08-Oct-25 1:56 PM CDT</t>
  </si>
  <si>
    <t>HAYWOOD BUILDERS SUPPLY    TRK</t>
  </si>
  <si>
    <t>WAYNESVILLE</t>
  </si>
  <si>
    <t>NC</t>
  </si>
  <si>
    <t>BARRETTE OUTDOOR LIVING</t>
  </si>
  <si>
    <t>EGG HARBOR CITY</t>
  </si>
  <si>
    <t>646 mi</t>
  </si>
  <si>
    <t>09-Oct-25 8:00 AM EDT</t>
  </si>
  <si>
    <t>16-Oct-25 5:00 PM EDT</t>
  </si>
  <si>
    <t>470 lb</t>
  </si>
  <si>
    <t>08-Oct-25 6:04 PM EDT</t>
  </si>
  <si>
    <t>2 ea</t>
  </si>
  <si>
    <t>14-Oct-25 2:23 PM EDT</t>
  </si>
  <si>
    <t>BlueLinx - Houston n. Loop</t>
  </si>
  <si>
    <t>Houston</t>
  </si>
  <si>
    <t>MCCOY - MIDLOTHIAN</t>
  </si>
  <si>
    <t>MIDLOTHIAN</t>
  </si>
  <si>
    <t>233 mi</t>
  </si>
  <si>
    <t>08-Oct-25 5:00 PM CDT</t>
  </si>
  <si>
    <t>71 lb</t>
  </si>
  <si>
    <t>08-Oct-25 3:28 PM EDT</t>
  </si>
  <si>
    <t>HOUSE WRAP</t>
  </si>
  <si>
    <t>08-Oct-25 3:30 PM CDT</t>
  </si>
  <si>
    <t>Tipton</t>
  </si>
  <si>
    <t>IN</t>
  </si>
  <si>
    <t>WHITECAP - FAIRDALE/RAM</t>
  </si>
  <si>
    <t>Fairdale</t>
  </si>
  <si>
    <t>KY</t>
  </si>
  <si>
    <t>168 mi</t>
  </si>
  <si>
    <t>4,050 lb</t>
  </si>
  <si>
    <t>08-Oct-25 3:03 PM EDT</t>
  </si>
  <si>
    <t>Palletized - Ground Stakes</t>
  </si>
  <si>
    <t>10-Oct-25 10:49 AM EDT</t>
  </si>
  <si>
    <t>WHITECAP #788 - COLLINSVILLE</t>
  </si>
  <si>
    <t>COLLINSVILLE</t>
  </si>
  <si>
    <t>268 mi</t>
  </si>
  <si>
    <t>09-Oct-25 12:01 AM EDT</t>
  </si>
  <si>
    <t>13-Oct-25 11:59 PM CDT</t>
  </si>
  <si>
    <t>2,250 lb</t>
  </si>
  <si>
    <t>08-Oct-25 9:46 AM EDT</t>
  </si>
  <si>
    <t>13-Oct-25 11:59 PM EDT</t>
  </si>
  <si>
    <t>4,500 lb</t>
  </si>
  <si>
    <t>08-Oct-25 9:41 AM EDT</t>
  </si>
  <si>
    <t>OMAHA</t>
  </si>
  <si>
    <t>NE</t>
  </si>
  <si>
    <t>584 mi</t>
  </si>
  <si>
    <t>10-Oct-25 12:01 AM EDT</t>
  </si>
  <si>
    <t>10-Oct-25 11:59 PM CDT</t>
  </si>
  <si>
    <t>960 lb</t>
  </si>
  <si>
    <t>09-Oct-25 2:21 PM EDT</t>
  </si>
  <si>
    <t>BLUELINX OMAHA</t>
  </si>
  <si>
    <t>995 mi</t>
  </si>
  <si>
    <t>16-Oct-25 12:01 AM EDT</t>
  </si>
  <si>
    <t>23-Oct-25 11:59 PM CDT</t>
  </si>
  <si>
    <t>310.62 lb</t>
  </si>
  <si>
    <t>15-Oct-25 9:31 AM EDT</t>
  </si>
  <si>
    <t>16-Oct-25 1:31 PM EDT</t>
  </si>
  <si>
    <t>WHITECAP #157-LOUISVILLE KY</t>
  </si>
  <si>
    <t>LOUISVILLE</t>
  </si>
  <si>
    <t>154 mi</t>
  </si>
  <si>
    <t>29-Oct-25 12:01 AM EDT</t>
  </si>
  <si>
    <t>30-Oct-25 11:59 PM EDT</t>
  </si>
  <si>
    <t>15-Oct-25 8:41 AM EDT</t>
  </si>
  <si>
    <t>Nail Stakes - palletized</t>
  </si>
  <si>
    <t>29-Oct-25 11:45 AM EDT</t>
  </si>
  <si>
    <t>BLUELINX ERWIN</t>
  </si>
  <si>
    <t>ERWIN</t>
  </si>
  <si>
    <t>BLUELINX CHARLOTTE</t>
  </si>
  <si>
    <t>CHARLOTTE</t>
  </si>
  <si>
    <t>169 mi</t>
  </si>
  <si>
    <t>17-Oct-25 11:59 PM EDT</t>
  </si>
  <si>
    <t>6,300.15 lb</t>
  </si>
  <si>
    <t>15-Oct-25 10:46 AM EDT</t>
  </si>
  <si>
    <t>Pallteized rolls of housewrap</t>
  </si>
  <si>
    <t>5 ea</t>
  </si>
  <si>
    <t>16-Oct-25 10:22 AM EDT</t>
  </si>
  <si>
    <t>BLUELINX PITTSBURGH</t>
  </si>
  <si>
    <t>HUNKER</t>
  </si>
  <si>
    <t>419 mi</t>
  </si>
  <si>
    <t>5,040.12 lb</t>
  </si>
  <si>
    <t>4 ea</t>
  </si>
  <si>
    <t>ELK MEADOWS APTS</t>
  </si>
  <si>
    <t>RUIDOSO</t>
  </si>
  <si>
    <t>NM</t>
  </si>
  <si>
    <t>523 mi</t>
  </si>
  <si>
    <t>21-Oct-25 12:01 AM CDT</t>
  </si>
  <si>
    <t>21-Oct-25 11:59 PM MDT</t>
  </si>
  <si>
    <t>200 lb</t>
  </si>
  <si>
    <t>17-Oct-25 12:56 PM EDT</t>
  </si>
  <si>
    <t>zip tape</t>
  </si>
  <si>
    <t>21-Oct-25 2:16 PM CDT</t>
  </si>
  <si>
    <t>603 mi</t>
  </si>
  <si>
    <t>14-Nov-25 12:01 AM EST</t>
  </si>
  <si>
    <t>17-Nov-25 11:59 PM EST</t>
  </si>
  <si>
    <t>1,200 lb</t>
  </si>
  <si>
    <t>20-Oct-25 10:36 AM EDT</t>
  </si>
  <si>
    <t>8ft Bead Board - palletized</t>
  </si>
  <si>
    <t>18-Nov-25 12:23 PM EST</t>
  </si>
  <si>
    <t>Kronospan</t>
  </si>
  <si>
    <t>SHIPPENVILLE</t>
  </si>
  <si>
    <t>FUNDER AMERICA, INC.     50100</t>
  </si>
  <si>
    <t>MOCKSVILLE</t>
  </si>
  <si>
    <t>502 mi</t>
  </si>
  <si>
    <t>24-Oct-25 12:01 AM EDT</t>
  </si>
  <si>
    <t>24-Oct-25 11:59 PM EDT</t>
  </si>
  <si>
    <t>2,600 lb</t>
  </si>
  <si>
    <t>23-Oct-25 1:16 PM EDT</t>
  </si>
  <si>
    <t>48 in x 96 in board</t>
  </si>
  <si>
    <t>24-Oct-25 12:33 PM EDT</t>
  </si>
  <si>
    <t>BLUELINX BELLINGHAM</t>
  </si>
  <si>
    <t>BELLINGHAM</t>
  </si>
  <si>
    <t>MA</t>
  </si>
  <si>
    <t>554 mi</t>
  </si>
  <si>
    <t>2,304 lb</t>
  </si>
  <si>
    <t>23-Oct-25 8:51 AM EDT</t>
  </si>
  <si>
    <t>Jackposts - palletized</t>
  </si>
  <si>
    <t>24-Oct-25 1:00 PM EDT</t>
  </si>
  <si>
    <t>BLUELINX BUFFALO</t>
  </si>
  <si>
    <t>BLASDELL</t>
  </si>
  <si>
    <t>NY</t>
  </si>
  <si>
    <t>116 mi</t>
  </si>
  <si>
    <t>1,728 lb</t>
  </si>
  <si>
    <t>23-Oct-25 8:46 AM EDT</t>
  </si>
  <si>
    <t>24-Oct-25 11:59 PM CDT</t>
  </si>
  <si>
    <t>BLUELINX CORP / Cedar Creek</t>
  </si>
  <si>
    <t>Englewood</t>
  </si>
  <si>
    <t>CO</t>
  </si>
  <si>
    <t>BLUELINX SEATTLE</t>
  </si>
  <si>
    <t>KENT</t>
  </si>
  <si>
    <t>WA</t>
  </si>
  <si>
    <t>1,297 mi</t>
  </si>
  <si>
    <t>24-Oct-25 12:01 AM MDT</t>
  </si>
  <si>
    <t>24-Oct-25 11:59 PM PDT</t>
  </si>
  <si>
    <t>921.6 lb</t>
  </si>
  <si>
    <t>siding</t>
  </si>
  <si>
    <t>29-Oct-25 2:05 PM MDT</t>
  </si>
  <si>
    <t>BLUELINX RICHMOND</t>
  </si>
  <si>
    <t>455 mi</t>
  </si>
  <si>
    <t>06-Nov-25 12:01 AM EST</t>
  </si>
  <si>
    <t>07-Nov-25 11:59 PM EST</t>
  </si>
  <si>
    <t>10,195 lb</t>
  </si>
  <si>
    <t>24-Oct-25 8:56 AM EDT</t>
  </si>
  <si>
    <t>standard pallets - roofing accessories</t>
  </si>
  <si>
    <t>06-Nov-25 1:48 PM EST</t>
  </si>
  <si>
    <t>Yulee</t>
  </si>
  <si>
    <t>CARTWRIGHT BLG, ORGILL #044990</t>
  </si>
  <si>
    <t>DORAL</t>
  </si>
  <si>
    <t>370 mi</t>
  </si>
  <si>
    <t>16,250 lb</t>
  </si>
  <si>
    <t>28-Oct-25 3:26 PM EDT</t>
  </si>
  <si>
    <t>Roofing accessories palletized</t>
  </si>
  <si>
    <t>10 ea</t>
  </si>
  <si>
    <t>29-Oct-25 3:30 PM EDT</t>
  </si>
  <si>
    <t>BLUELINX FREDERICK</t>
  </si>
  <si>
    <t>FREDERICK</t>
  </si>
  <si>
    <t>MD</t>
  </si>
  <si>
    <t>166 mi</t>
  </si>
  <si>
    <t>31-Oct-25 12:01 AM EDT</t>
  </si>
  <si>
    <t>31-Oct-25 11:59 PM EDT</t>
  </si>
  <si>
    <t>733.98 lb</t>
  </si>
  <si>
    <t>29-Oct-25 11:26 AM EDT</t>
  </si>
  <si>
    <t>stair accessories - palletized</t>
  </si>
  <si>
    <t>31-Oct-25 4:00 PM EDT</t>
  </si>
  <si>
    <t>343 mi</t>
  </si>
  <si>
    <t>1,260.03 lb</t>
  </si>
  <si>
    <t>30-Oct-25 8:36 AM EDT</t>
  </si>
  <si>
    <t>31-Oct-25 10:14 AM EDT</t>
  </si>
  <si>
    <t>ALL VAN</t>
  </si>
  <si>
    <t>LAVERGNE</t>
  </si>
  <si>
    <t>BLUELINX INDIANAPOLIS</t>
  </si>
  <si>
    <t>TIPTON</t>
  </si>
  <si>
    <t>341 mi</t>
  </si>
  <si>
    <t>03-Nov-25 8:00 AM CST</t>
  </si>
  <si>
    <t>04-Nov-25 5:00 PM EST</t>
  </si>
  <si>
    <t>146 lb</t>
  </si>
  <si>
    <t>03-Nov-25 8:30 AM EST</t>
  </si>
  <si>
    <t>123 in x25 n x 9in palletized curtainside van accessories</t>
  </si>
  <si>
    <t>03-Nov-25 11:33 AM CST</t>
  </si>
  <si>
    <t>Madison</t>
  </si>
  <si>
    <t>LOWE'S 1799</t>
  </si>
  <si>
    <t>ATHENS</t>
  </si>
  <si>
    <t>310 mi</t>
  </si>
  <si>
    <t>03-Nov-25 5:00 PM CST</t>
  </si>
  <si>
    <t>57 lb</t>
  </si>
  <si>
    <t>03-Nov-25 3:51 PM EST</t>
  </si>
  <si>
    <t>BELLINGHAM LBR CO</t>
  </si>
  <si>
    <t>CEDAR CREEK GPT</t>
  </si>
  <si>
    <t>LONG BEACH</t>
  </si>
  <si>
    <t>MS</t>
  </si>
  <si>
    <t>1,445 mi</t>
  </si>
  <si>
    <t>05-Nov-25 8:00 AM EST</t>
  </si>
  <si>
    <t>06-Nov-25 5:00 PM CST</t>
  </si>
  <si>
    <t>1,334.11 lb</t>
  </si>
  <si>
    <t>04-Nov-25 11:48 AM EST</t>
  </si>
  <si>
    <t>Millwork accessories</t>
  </si>
  <si>
    <t>06-Nov-25 8:30 AM EST</t>
  </si>
  <si>
    <t>05-Nov-25 12:01 AM EST</t>
  </si>
  <si>
    <t>08-Nov-25 11:59 PM EST</t>
  </si>
  <si>
    <t>386.84 lb</t>
  </si>
  <si>
    <t>04-Nov-25 5:06 PM EST</t>
  </si>
  <si>
    <t>Millwork accessories - palletized</t>
  </si>
  <si>
    <t>05-Nov-25 12:59 PM EST</t>
  </si>
  <si>
    <t>BLUELINX CINCINNATI</t>
  </si>
  <si>
    <t>INDEPENDENCE</t>
  </si>
  <si>
    <t>339 mi</t>
  </si>
  <si>
    <t>06-Nov-25 11:59 PM EST</t>
  </si>
  <si>
    <t>2,403.36 lb</t>
  </si>
  <si>
    <t>05-Nov-25 9:21 AM EST</t>
  </si>
  <si>
    <t>7ft post jacks - palletized</t>
  </si>
  <si>
    <t>06-Nov-25 3:32 PM EST</t>
  </si>
  <si>
    <t>BLUELINX NASHVILLE</t>
  </si>
  <si>
    <t>MADISON</t>
  </si>
  <si>
    <t>BLUELINX CHARLESTON</t>
  </si>
  <si>
    <t>CHARLESTON</t>
  </si>
  <si>
    <t>SC</t>
  </si>
  <si>
    <t>546 mi</t>
  </si>
  <si>
    <t>07-Nov-25 12:01 AM CST</t>
  </si>
  <si>
    <t>11-Nov-25 11:59 PM EST</t>
  </si>
  <si>
    <t>172.5 lb</t>
  </si>
  <si>
    <t>05-Nov-25 3:11 PM EST</t>
  </si>
  <si>
    <t>Palletized post caps - accessories</t>
  </si>
  <si>
    <t>07-Nov-25 1:42 PM CST</t>
  </si>
  <si>
    <t>BLUELINX SAINT LOUIS</t>
  </si>
  <si>
    <t>BRIDGETON</t>
  </si>
  <si>
    <t>MO</t>
  </si>
  <si>
    <t>313 mi</t>
  </si>
  <si>
    <t>11-Nov-25 11:59 PM CST</t>
  </si>
  <si>
    <t>147.8 lb</t>
  </si>
  <si>
    <t>05-Nov-25 3:16 PM EST</t>
  </si>
  <si>
    <t>standard pallet - railing accessories</t>
  </si>
  <si>
    <t>07-Nov-25 1:40 PM CST</t>
  </si>
  <si>
    <t>BLUELINX CORP - FORT WORTH MAI</t>
  </si>
  <si>
    <t>FORT WORTH</t>
  </si>
  <si>
    <t>Charleston</t>
  </si>
  <si>
    <t>1,102 mi</t>
  </si>
  <si>
    <t>12-Nov-25 8:00 AM CST</t>
  </si>
  <si>
    <t>12-Nov-25 5:00 PM EST</t>
  </si>
  <si>
    <t>1,000 lb</t>
  </si>
  <si>
    <t>12-Nov-25 2:55 PM EST</t>
  </si>
  <si>
    <t>FORKLIFT CHARGERS</t>
  </si>
  <si>
    <t>13-Nov-25 11:35 AM CST</t>
  </si>
  <si>
    <t>Elkhart</t>
  </si>
  <si>
    <t>CHAMPION HOME BLDRS - SANGER</t>
  </si>
  <si>
    <t>SANGERFIELD</t>
  </si>
  <si>
    <t>608 mi</t>
  </si>
  <si>
    <t>17-Nov-25 12:01 AM EST</t>
  </si>
  <si>
    <t>18-Nov-25 11:59 PM EST</t>
  </si>
  <si>
    <t>4,165 lb</t>
  </si>
  <si>
    <t>13-Nov-25 1:56 PM EST</t>
  </si>
  <si>
    <t>Doors and accessories palletized</t>
  </si>
  <si>
    <t>7 ea</t>
  </si>
  <si>
    <t>17-Nov-25 1:45 PM EST</t>
  </si>
  <si>
    <t>14-Nov-25 11:59 PM EST</t>
  </si>
  <si>
    <t>4,439.76 lb</t>
  </si>
  <si>
    <t>13-Nov-25 10:11 AM EST</t>
  </si>
  <si>
    <t>6 ea</t>
  </si>
  <si>
    <t>17-Nov-25 7:26 AM EST</t>
  </si>
  <si>
    <t>SCHULT HOMES #954</t>
  </si>
  <si>
    <t>REDWOOD FALLS</t>
  </si>
  <si>
    <t>MN</t>
  </si>
  <si>
    <t>17-Nov-25 11:59 PM CST</t>
  </si>
  <si>
    <t>4,457.03 lb</t>
  </si>
  <si>
    <t>14-Nov-25 10:21 AM EST</t>
  </si>
  <si>
    <t>4x4 skids door accessories</t>
  </si>
  <si>
    <t>8 ea</t>
  </si>
  <si>
    <t>17-Nov-25 12:45 PM EST</t>
  </si>
  <si>
    <t>CHAMPION HOME BLDRS-STRATTANVI</t>
  </si>
  <si>
    <t>STRATTANVILLE</t>
  </si>
  <si>
    <t>367 mi</t>
  </si>
  <si>
    <t>2,880.01 lb</t>
  </si>
  <si>
    <t>4x4 doors - accessories</t>
  </si>
  <si>
    <t>17-Nov-25 1:52 PM EST</t>
  </si>
  <si>
    <t>SKYLINE - SUGARCRK - BI/MH</t>
  </si>
  <si>
    <t>SUGARCREEK</t>
  </si>
  <si>
    <t>OH</t>
  </si>
  <si>
    <t>269 mi</t>
  </si>
  <si>
    <t>4,765 lb</t>
  </si>
  <si>
    <t>4x8 skids doors and accessories</t>
  </si>
  <si>
    <t>17-Nov-25 1:50 PM EST</t>
  </si>
  <si>
    <t>DECKS &amp; DOCKS LBR - WILMINGTON</t>
  </si>
  <si>
    <t>WILMINGTON</t>
  </si>
  <si>
    <t>417 mi</t>
  </si>
  <si>
    <t>18-Nov-25 12:01 AM EST</t>
  </si>
  <si>
    <t>122.56 lb</t>
  </si>
  <si>
    <t>17-Nov-25 9:31 AM EST</t>
  </si>
  <si>
    <t>post cap and sleeve</t>
  </si>
  <si>
    <t>19-Nov-25 1:35 PM EST</t>
  </si>
  <si>
    <t>BLUELINX PORTLAND</t>
  </si>
  <si>
    <t>PORTLAND</t>
  </si>
  <si>
    <t>ME</t>
  </si>
  <si>
    <t>USP - C/O Lansdale Warehouse</t>
  </si>
  <si>
    <t>Souderton</t>
  </si>
  <si>
    <t>405 mi</t>
  </si>
  <si>
    <t>19-Nov-25 8:00 AM EST</t>
  </si>
  <si>
    <t>20-Nov-25 5:00 PM EST</t>
  </si>
  <si>
    <t>8,514 lb</t>
  </si>
  <si>
    <t>18-Nov-25 5:23 PM EST</t>
  </si>
  <si>
    <t>Rolls of underlayment - palletized</t>
  </si>
  <si>
    <t>CEDAR CREEK IND</t>
  </si>
  <si>
    <t>319 mi</t>
  </si>
  <si>
    <t>20-Nov-25 12:01 AM EST</t>
  </si>
  <si>
    <t>21-Nov-25 11:59 PM CST</t>
  </si>
  <si>
    <t>296 lb</t>
  </si>
  <si>
    <t>19-Nov-25 2:46 PM EST</t>
  </si>
  <si>
    <t>Huber Zip tape - palletized</t>
  </si>
  <si>
    <t>20-Nov-25 3:40 PM EST</t>
  </si>
  <si>
    <t>BLUELINX RALEIGH</t>
  </si>
  <si>
    <t>BUTNER</t>
  </si>
  <si>
    <t>291 mi</t>
  </si>
  <si>
    <t>21-Nov-25 12:01 AM EST</t>
  </si>
  <si>
    <t>25-Nov-25 11:59 PM EST</t>
  </si>
  <si>
    <t>1,204.01 lb</t>
  </si>
  <si>
    <t>20-Nov-25 8:21 AM EST</t>
  </si>
  <si>
    <t>Boxes of sealant tape - palletized</t>
  </si>
  <si>
    <t>21-Nov-25 12:57 PM EST</t>
  </si>
  <si>
    <t>BLUELINX PENSACOLA</t>
  </si>
  <si>
    <t>PENSACOLA</t>
  </si>
  <si>
    <t>CEDAR CREEK BIR</t>
  </si>
  <si>
    <t>BIRMINGHAM</t>
  </si>
  <si>
    <t>AL</t>
  </si>
  <si>
    <t>248 mi</t>
  </si>
  <si>
    <t>20-Nov-25 12:01 AM CST</t>
  </si>
  <si>
    <t>20-Nov-25 11:59 PM CST</t>
  </si>
  <si>
    <t>1,068 lb</t>
  </si>
  <si>
    <t>20-Nov-25 3:11 PM EST</t>
  </si>
  <si>
    <t>SILL SEAL</t>
  </si>
  <si>
    <t>21-Nov-25 1:26 PM CST</t>
  </si>
  <si>
    <t>398 mi</t>
  </si>
  <si>
    <t>26-Nov-25 11:59 PM EST</t>
  </si>
  <si>
    <t>1,900.8 lb</t>
  </si>
  <si>
    <t>20-Nov-25 9:51 AM EST</t>
  </si>
  <si>
    <t>12ft Trim board</t>
  </si>
  <si>
    <t>24-Nov-25 12:01 AM EST</t>
  </si>
  <si>
    <t>3,832 lb</t>
  </si>
  <si>
    <t>21-Nov-25 9:51 AM EST</t>
  </si>
  <si>
    <t>24-Nov-25 10:50 AM EST</t>
  </si>
  <si>
    <t>25-Nov-25 11:59 PM CST</t>
  </si>
  <si>
    <t>4,513 lb</t>
  </si>
  <si>
    <t>LAKE STATES LUMBER, INC. AIT</t>
  </si>
  <si>
    <t>AITKIN</t>
  </si>
  <si>
    <t>1,068 mi</t>
  </si>
  <si>
    <t>10-Nov-25 12:01 AM CST</t>
  </si>
  <si>
    <t>10-Nov-25 11:59 PM CST</t>
  </si>
  <si>
    <t>24-Nov-25 2:32 PM EST</t>
  </si>
  <si>
    <t>ZIP LIQUID FLASH CARTRIDGE</t>
  </si>
  <si>
    <t>25-Nov-25 12:51 PM CST</t>
  </si>
  <si>
    <t>CELLOFOAM NA</t>
  </si>
  <si>
    <t>WINCHESTER</t>
  </si>
  <si>
    <t>VICTORY TRAILERS - ROCKY MOUNT</t>
  </si>
  <si>
    <t>ROCK MOUNT</t>
  </si>
  <si>
    <t>199 mi</t>
  </si>
  <si>
    <t>02-Dec-25 12:01 AM EST</t>
  </si>
  <si>
    <t>04-Dec-25 11:59 PM EST</t>
  </si>
  <si>
    <t>234.96 lb</t>
  </si>
  <si>
    <t>01-Dec-25 1:01 PM EST</t>
  </si>
  <si>
    <t>48x units insulation</t>
  </si>
  <si>
    <t>03-Dec-25 2:40 PM EST</t>
  </si>
  <si>
    <t>Lawrenceville</t>
  </si>
  <si>
    <t>JENNINGS BLDG SUPPLY-CASHIERS</t>
  </si>
  <si>
    <t>SAPPHIRE</t>
  </si>
  <si>
    <t>127 mi</t>
  </si>
  <si>
    <t>25-Dec-25 11:59 PM EST</t>
  </si>
  <si>
    <t>131.28 lb</t>
  </si>
  <si>
    <t>01-Dec-25 8:26 AM EST</t>
  </si>
  <si>
    <t>Zip Tape - palletized</t>
  </si>
  <si>
    <t>730 mi</t>
  </si>
  <si>
    <t>03-Dec-25 11:59 PM EST</t>
  </si>
  <si>
    <t>01-Dec-25 10:11 AM EST</t>
  </si>
  <si>
    <t>8ft beadboard</t>
  </si>
  <si>
    <t>03-Dec-25 12:45 PM EST</t>
  </si>
  <si>
    <t>02-Dec-25 11:59 PM EST</t>
  </si>
  <si>
    <t>1,592.2 lb</t>
  </si>
  <si>
    <t>01-Dec-25 10:41 AM EST</t>
  </si>
  <si>
    <t>02-Dec-25 2:53 PM EST</t>
  </si>
  <si>
    <t>BLUELINX AKRON</t>
  </si>
  <si>
    <t>TALLMADGE</t>
  </si>
  <si>
    <t>200 mi</t>
  </si>
  <si>
    <t>05-Dec-25 12:01 AM EST</t>
  </si>
  <si>
    <t>05-Dec-25 11:59 PM EST</t>
  </si>
  <si>
    <t>1,008 lb</t>
  </si>
  <si>
    <t>03-Dec-25 11:51 AM EST</t>
  </si>
  <si>
    <t>Boxed and palletized - floor adhesive</t>
  </si>
  <si>
    <t>05-Dec-25 4:00 PM EST</t>
  </si>
  <si>
    <t>09-Dec-25 12:01 AM EST</t>
  </si>
  <si>
    <t>10-Dec-25 11:59 PM EST</t>
  </si>
  <si>
    <t>227.19 lb</t>
  </si>
  <si>
    <t>05-Dec-25 8:46 AM EST</t>
  </si>
  <si>
    <t>09-Dec-25 10:18 AM EST</t>
  </si>
  <si>
    <t>APOLLO SIDING SUPPLY INC</t>
  </si>
  <si>
    <t>AKRON</t>
  </si>
  <si>
    <t>295 mi</t>
  </si>
  <si>
    <t>654.72 lb</t>
  </si>
  <si>
    <t>09-Dec-25 11:56 AM EST</t>
  </si>
  <si>
    <t>Vinyl Siding - 12ft</t>
  </si>
  <si>
    <t>09-Dec-25 1:44 PM EST</t>
  </si>
  <si>
    <t>718 mi</t>
  </si>
  <si>
    <t>10-Dec-25 12:01 AM EST</t>
  </si>
  <si>
    <t>15-Dec-25 11:59 PM CST</t>
  </si>
  <si>
    <t>163.9 lb</t>
  </si>
  <si>
    <t>09-Dec-25 11:11 AM EST</t>
  </si>
  <si>
    <t>42 in x 48 in pallet  - Vinyl Shrouds</t>
  </si>
  <si>
    <t>10-Dec-25 4:35 PM EST</t>
  </si>
  <si>
    <t>11-Dec-25 12:01 AM EST</t>
  </si>
  <si>
    <t>12-Dec-25 11:59 PM EST</t>
  </si>
  <si>
    <t>1,154.01 lb</t>
  </si>
  <si>
    <t>10-Dec-25 10:56 AM EST</t>
  </si>
  <si>
    <t>PALLTEIZED - HOUSEWRAP</t>
  </si>
  <si>
    <t>11-Dec-25 1:05 PM EST</t>
  </si>
  <si>
    <t>136 mi</t>
  </si>
  <si>
    <t>11-Dec-25 11:59 PM EST</t>
  </si>
  <si>
    <t>445.83 lb</t>
  </si>
  <si>
    <t>10-Dec-25 1:36 PM EST</t>
  </si>
  <si>
    <t>metal studs</t>
  </si>
  <si>
    <t>11-Dec-25 4:22 PM EST</t>
  </si>
  <si>
    <t>617 mi</t>
  </si>
  <si>
    <t>12-Dec-25 12:01 AM EST</t>
  </si>
  <si>
    <t>3,375 lb</t>
  </si>
  <si>
    <t>11-Dec-25 1:26 PM EST</t>
  </si>
  <si>
    <t>12-Dec-25 2:45 PM EST</t>
  </si>
  <si>
    <t>15-Dec-25 12:01 AM EST</t>
  </si>
  <si>
    <t>15-Dec-25 11:59 PM EST</t>
  </si>
  <si>
    <t>11-Dec-25 2:51 PM EST</t>
  </si>
  <si>
    <t>15-Dec-25 4:25 AM EST</t>
  </si>
  <si>
    <t>BLUELINX ELKHART</t>
  </si>
  <si>
    <t>ELKHART</t>
  </si>
  <si>
    <t>05-Jan-26 8:00 AM EST</t>
  </si>
  <si>
    <t>06-Jan-26 5:00 PM EST</t>
  </si>
  <si>
    <t>2,500 lb</t>
  </si>
  <si>
    <t>16-Dec-25 5:06 PM EST</t>
  </si>
  <si>
    <t>4x8 MDF - palletized</t>
  </si>
  <si>
    <t>702 lb</t>
  </si>
  <si>
    <t>16-Dec-25 8:16 AM EST</t>
  </si>
  <si>
    <t>inviwrap</t>
  </si>
  <si>
    <t>WALKER LUMBER &amp; HARDWARE, INC</t>
  </si>
  <si>
    <t>NASHVILLE</t>
  </si>
  <si>
    <t>513 mi</t>
  </si>
  <si>
    <t>19-Dec-25 12:01 AM EST</t>
  </si>
  <si>
    <t>19-Dec-25 11:59 PM CST</t>
  </si>
  <si>
    <t>1,092 lb</t>
  </si>
  <si>
    <t>18-Dec-25 7:26 AM EST</t>
  </si>
  <si>
    <t>roof underlayment</t>
  </si>
  <si>
    <t>18-Dec-25 3:22 PM EST</t>
  </si>
  <si>
    <t>BLUELINX GRAND RAPIDS-BUCHANAN</t>
  </si>
  <si>
    <t>GRAND RAPIDS</t>
  </si>
  <si>
    <t>362 mi</t>
  </si>
  <si>
    <t>23-Dec-25 12:01 AM EST</t>
  </si>
  <si>
    <t>26-Dec-25 11:59 PM EST</t>
  </si>
  <si>
    <t>19-Dec-25 2:01 PM EST</t>
  </si>
  <si>
    <t>22-Dec-25 11:56 AM EST</t>
  </si>
  <si>
    <t>19-Dec-25 11:59 PM EST</t>
  </si>
  <si>
    <t>19-Dec-25 1:56 PM EST</t>
  </si>
  <si>
    <t>jackposts</t>
  </si>
  <si>
    <t>3,456 lb</t>
  </si>
  <si>
    <t>JENNINGS BLDG SUPPLY-BREVARD</t>
  </si>
  <si>
    <t>BREVARD</t>
  </si>
  <si>
    <t>144 mi</t>
  </si>
  <si>
    <t>150 lb</t>
  </si>
  <si>
    <t>22-Dec-25 1:11 PM EST</t>
  </si>
  <si>
    <t>Boxes of sealant glue - palletized</t>
  </si>
  <si>
    <t>23-Dec-25 8:52 AM EST</t>
  </si>
  <si>
    <t>GBS-HENDERSONVILLE</t>
  </si>
  <si>
    <t>HENDERSONVILLE</t>
  </si>
  <si>
    <t>155 mi</t>
  </si>
  <si>
    <t>29-Dec-25 12:01 AM EST</t>
  </si>
  <si>
    <t>30-Dec-25 11:59 PM EST</t>
  </si>
  <si>
    <t>140.55 lb</t>
  </si>
  <si>
    <t>26-Dec-25 10:26 AM EST</t>
  </si>
  <si>
    <t>Huber Zip tape and floor adhesive - palletized</t>
  </si>
  <si>
    <t>29-Dec-25 12:11 PM EST</t>
  </si>
  <si>
    <t>90 lb</t>
  </si>
  <si>
    <t>26-Dec-25 10:21 AM EST</t>
  </si>
  <si>
    <t>BROOKLYN PARK</t>
  </si>
  <si>
    <t>BFS #RAPCSDYD-RAPID CITY SD YA</t>
  </si>
  <si>
    <t>RAPID CITY</t>
  </si>
  <si>
    <t>SD</t>
  </si>
  <si>
    <t>565 mi</t>
  </si>
  <si>
    <t>31-Dec-25 12:01 AM CST</t>
  </si>
  <si>
    <t>31-Dec-25 11:59 PM MST</t>
  </si>
  <si>
    <t>222.29 lb</t>
  </si>
  <si>
    <t>29-Dec-25 5:46 PM EST</t>
  </si>
  <si>
    <t>31-Dec-25 11:47 AM CST</t>
  </si>
  <si>
    <t>31-Dec-25 12:01 AM EST</t>
  </si>
  <si>
    <t>31-Dec-25 11:59 PM EST</t>
  </si>
  <si>
    <t>30-Dec-25 9:36 AM EST</t>
  </si>
  <si>
    <t>31-Dec-25 12:54 PM EST</t>
  </si>
  <si>
    <t>07-Jan-26 12:01 AM EST</t>
  </si>
  <si>
    <t>09-Jan-26 11:59 PM EST</t>
  </si>
  <si>
    <t>105 lb</t>
  </si>
  <si>
    <t>06-Jan-26 9:36 AM EST</t>
  </si>
  <si>
    <t>Subfloor adhesive - palletized</t>
  </si>
  <si>
    <t>07-Jan-26 9:53 AM EST</t>
  </si>
  <si>
    <t>08-Jan-26 11:59 PM EST</t>
  </si>
  <si>
    <t>185.55 lb</t>
  </si>
  <si>
    <t>Xip tape and floor adhesive - palleltized</t>
  </si>
  <si>
    <t>896 mi</t>
  </si>
  <si>
    <t>07-Jan-26 11:59 PM EST</t>
  </si>
  <si>
    <t>156 lb</t>
  </si>
  <si>
    <t>06-Jan-26 2:31 PM EST</t>
  </si>
  <si>
    <t>8ft Primed Post</t>
  </si>
  <si>
    <t>07-Jan-26 12:57 PM EST</t>
  </si>
  <si>
    <t>1,181 mi</t>
  </si>
  <si>
    <t>07-Jan-26 8:00 AM CST</t>
  </si>
  <si>
    <t>09-Jan-26 5:00 PM EST</t>
  </si>
  <si>
    <t>93 lb</t>
  </si>
  <si>
    <t>06-Jan-26 10:10 AM EST</t>
  </si>
  <si>
    <t>Curtainside van accessories - 114 in long</t>
  </si>
  <si>
    <t>07-Jan-26 12:16 PM CST</t>
  </si>
  <si>
    <t>BLUELINX- BROKEN ARROW</t>
  </si>
  <si>
    <t>BROKEN ARROW</t>
  </si>
  <si>
    <t>OK</t>
  </si>
  <si>
    <t>GRASSY CREEK, LBM #2196 SPRUCE</t>
  </si>
  <si>
    <t>SPRUCE PINE</t>
  </si>
  <si>
    <t>925 mi</t>
  </si>
  <si>
    <t>07-Jan-26 12:01 AM CST</t>
  </si>
  <si>
    <t>88 lb</t>
  </si>
  <si>
    <t>06-Jan-26 12:11 PM EST</t>
  </si>
  <si>
    <t>48 in liners</t>
  </si>
  <si>
    <t>07-Jan-26 1:04 PM CST</t>
  </si>
  <si>
    <t>Burckart Construction</t>
  </si>
  <si>
    <t>Bentonville</t>
  </si>
  <si>
    <t>AR</t>
  </si>
  <si>
    <t>395 mi</t>
  </si>
  <si>
    <t>07-Jan-26 11:59 PM CST</t>
  </si>
  <si>
    <t>06-Jan-26 5:31 PM EST</t>
  </si>
  <si>
    <t>Housewrap - palletized</t>
  </si>
  <si>
    <t>07-Jan-26 1:03 PM CST</t>
  </si>
  <si>
    <t>BLOEDORNS LBM #3081 GILLETTE</t>
  </si>
  <si>
    <t>Lewistown</t>
  </si>
  <si>
    <t>MT</t>
  </si>
  <si>
    <t>855 mi</t>
  </si>
  <si>
    <t>09-Jan-26 12:01 AM CST</t>
  </si>
  <si>
    <t>12-Jan-26 11:59 PM MST</t>
  </si>
  <si>
    <t>266.65 lb</t>
  </si>
  <si>
    <t>07-Jan-26 5:21 PM EST</t>
  </si>
  <si>
    <t>09-Jan-26 12:29 PM CST</t>
  </si>
  <si>
    <t>440 mi</t>
  </si>
  <si>
    <t>09-Jan-26 8:00 AM CST</t>
  </si>
  <si>
    <t>09-Jan-26 5:00 PM CST</t>
  </si>
  <si>
    <t>324 lb</t>
  </si>
  <si>
    <t>08-Jan-26 1:16 PM EST</t>
  </si>
  <si>
    <t>Curtainside van accessories - 125 in x 38 in x 15 in</t>
  </si>
  <si>
    <t>09-Jan-26 12:33 PM CST</t>
  </si>
  <si>
    <t>12-Jan-26 12:01 AM EST</t>
  </si>
  <si>
    <t>15-Jan-26 11:59 PM EST</t>
  </si>
  <si>
    <t>98.4 lb</t>
  </si>
  <si>
    <t>09-Jan-26 8:56 AM EST</t>
  </si>
  <si>
    <t>Trim Coil - palletized</t>
  </si>
  <si>
    <t>12-Jan-26 11:18 AM EST</t>
  </si>
  <si>
    <t>14-Jan-26 12:01 AM CST</t>
  </si>
  <si>
    <t>15-Jan-26 11:59 PM MST</t>
  </si>
  <si>
    <t>900 lb</t>
  </si>
  <si>
    <t>09-Jan-26 5:56 PM EST</t>
  </si>
  <si>
    <t>14-Jan-26 11:27 AM CST</t>
  </si>
  <si>
    <t>312 mi</t>
  </si>
  <si>
    <t>14-Jan-26 11:59 PM EST</t>
  </si>
  <si>
    <t>137.23 lb</t>
  </si>
  <si>
    <t>09-Jan-26 9:01 AM EST</t>
  </si>
  <si>
    <t>Post and caps -7ft</t>
  </si>
  <si>
    <t>12-Jan-26 3:56 PM EST</t>
  </si>
  <si>
    <t>621 mi</t>
  </si>
  <si>
    <t>14-Jan-26 12:01 AM EST</t>
  </si>
  <si>
    <t>20-Jan-26 11:59 PM EST</t>
  </si>
  <si>
    <t>2,000 lb</t>
  </si>
  <si>
    <t>12-Jan-26 2:31 PM EST</t>
  </si>
  <si>
    <t>4x8 Beaded Celing</t>
  </si>
  <si>
    <t>15-Jan-26 6:07 PM EST</t>
  </si>
  <si>
    <t>BLUELINX AUBURNDALE</t>
  </si>
  <si>
    <t>AUBURNDALE</t>
  </si>
  <si>
    <t>1,053 mi</t>
  </si>
  <si>
    <t>13-Jan-26 8:00 AM EST</t>
  </si>
  <si>
    <t>13-Jan-26 5:00 PM EST</t>
  </si>
  <si>
    <t>610 lb</t>
  </si>
  <si>
    <t>12-Jan-26 8:42 PM EST</t>
  </si>
  <si>
    <t>RAILING ACCESSORIES - PALLETIZED</t>
  </si>
  <si>
    <t>13-Jan-26 12:40 PM EST</t>
  </si>
  <si>
    <t>WHITECAP #551 - WC Huntsville</t>
  </si>
  <si>
    <t>433 mi</t>
  </si>
  <si>
    <t>15-Jan-26 12:01 AM EST</t>
  </si>
  <si>
    <t>16-Jan-26 11:59 PM CST</t>
  </si>
  <si>
    <t>11,250 lb</t>
  </si>
  <si>
    <t>13-Jan-26 2:01 PM EST</t>
  </si>
  <si>
    <t>15-Jan-26 11:45 AM EST</t>
  </si>
  <si>
    <t>KITCHEN KOMPACT INC</t>
  </si>
  <si>
    <t>JEFFERSONVILLE</t>
  </si>
  <si>
    <t>274 mi</t>
  </si>
  <si>
    <t>09-Feb-26 12:01 AM EST</t>
  </si>
  <si>
    <t>10-Feb-26 11:59 PM CST</t>
  </si>
  <si>
    <t>499 lb</t>
  </si>
  <si>
    <t>14-Jan-26 8:51 AM EST</t>
  </si>
  <si>
    <t>44inx44inx83in - cabinets - palletized</t>
  </si>
  <si>
    <t>BLUELINX LAKE CITY</t>
  </si>
  <si>
    <t>LAKE CITY</t>
  </si>
  <si>
    <t>951 mi</t>
  </si>
  <si>
    <t>16-Jan-26 12:01 AM EST</t>
  </si>
  <si>
    <t>14-Jan-26 10:16 AM EST</t>
  </si>
  <si>
    <t>Storm Doors - palletized</t>
  </si>
  <si>
    <t>19-Jan-26 3:45 PM EST</t>
  </si>
  <si>
    <t>507 mi</t>
  </si>
  <si>
    <t>16-Jan-26 8:00 AM CST</t>
  </si>
  <si>
    <t>19-Jan-26 5:00 PM EST</t>
  </si>
  <si>
    <t>81 lb</t>
  </si>
  <si>
    <t>15-Jan-26 10:19 AM EST</t>
  </si>
  <si>
    <t>Curtain trailer accessories - palletized - 116 in long</t>
  </si>
  <si>
    <t>16-Jan-26 1:20 AM CST</t>
  </si>
  <si>
    <t>MATEENBAR COMPOSITE</t>
  </si>
  <si>
    <t>CONCORD</t>
  </si>
  <si>
    <t>SOUTHERN PINE LUMBER</t>
  </si>
  <si>
    <t>ROCKLEDGE</t>
  </si>
  <si>
    <t>545 mi</t>
  </si>
  <si>
    <t>21-Jan-26 12:01 AM EST</t>
  </si>
  <si>
    <t>22-Jan-26 11:59 PM EST</t>
  </si>
  <si>
    <t>240 lb</t>
  </si>
  <si>
    <t>16-Jan-26 3:36 PM EST</t>
  </si>
  <si>
    <t>greenbar Stirrup 46in x 46in x 15in</t>
  </si>
  <si>
    <t>21-Jan-26 1:19 PM EST</t>
  </si>
  <si>
    <t>TREE ISLAND</t>
  </si>
  <si>
    <t>SAN BERNARDINO</t>
  </si>
  <si>
    <t>CA</t>
  </si>
  <si>
    <t>LOWES #1443 HENDERSON FDC</t>
  </si>
  <si>
    <t>HENDERSON</t>
  </si>
  <si>
    <t>986 mi</t>
  </si>
  <si>
    <t>26-Jan-26 12:01 AM PST</t>
  </si>
  <si>
    <t>28-Jan-26 11:59 PM MST</t>
  </si>
  <si>
    <t>1,596.4 lb</t>
  </si>
  <si>
    <t>16-Jan-26 1:26 PM EST</t>
  </si>
  <si>
    <t>122 in x 37 in x 25 in - moulding-framing accessories</t>
  </si>
  <si>
    <t>27-Jan-26 8:50 AM PST</t>
  </si>
  <si>
    <t>634 mi</t>
  </si>
  <si>
    <t>21-Jan-26 12:01 AM CST</t>
  </si>
  <si>
    <t>493.27 lb</t>
  </si>
  <si>
    <t>16-Jan-26 5:51 PM EST</t>
  </si>
  <si>
    <t>10ft decking accessories</t>
  </si>
  <si>
    <t>21-Jan-26 8:45 AM CST</t>
  </si>
  <si>
    <t>WHITECAP #592 CHARLESTON, WV</t>
  </si>
  <si>
    <t>WV</t>
  </si>
  <si>
    <t>308 mi</t>
  </si>
  <si>
    <t>9,000 lb</t>
  </si>
  <si>
    <t>20-Jan-26 9:11 AM EST</t>
  </si>
  <si>
    <t>23-Jan-26 1:11 PM EST</t>
  </si>
  <si>
    <t>84 LBR #1395 - WINDOW INSTALL</t>
  </si>
  <si>
    <t>PLANT CITY</t>
  </si>
  <si>
    <t>206 mi</t>
  </si>
  <si>
    <t>585.6 lb</t>
  </si>
  <si>
    <t>20-Jan-26 9:51 AM EST</t>
  </si>
  <si>
    <t>21-Jan-26 2:53 PM EST</t>
  </si>
  <si>
    <t>BLUELINX FORT WORTH</t>
  </si>
  <si>
    <t>FT WORTH</t>
  </si>
  <si>
    <t>1,373 mi</t>
  </si>
  <si>
    <t>22-Jan-26 12:01 AM EST</t>
  </si>
  <si>
    <t>29-Jan-26 11:59 PM CST</t>
  </si>
  <si>
    <t>8,870.4 lb</t>
  </si>
  <si>
    <t>20-Jan-26 4:11 PM EST</t>
  </si>
  <si>
    <t>ground master posts - palletized</t>
  </si>
  <si>
    <t>22-Jan-26 4:43 PM EST</t>
  </si>
  <si>
    <t>ROYAL MOULDING LTD-BRISTOL T2</t>
  </si>
  <si>
    <t>BRISTOL</t>
  </si>
  <si>
    <t>GUY C LEE B/M KITTY HAWK</t>
  </si>
  <si>
    <t>KITTY HAWK</t>
  </si>
  <si>
    <t>441 mi</t>
  </si>
  <si>
    <t>27-Jan-26 11:59 PM EST</t>
  </si>
  <si>
    <t>2,976 lb</t>
  </si>
  <si>
    <t>20-Jan-26 5:01 PM EST</t>
  </si>
  <si>
    <t>4' x 10 '  PVC sheets  - palletized</t>
  </si>
  <si>
    <t>ILION LUMBER, LBM #964</t>
  </si>
  <si>
    <t>ILION</t>
  </si>
  <si>
    <t>217 mi</t>
  </si>
  <si>
    <t>1,232.56 lb</t>
  </si>
  <si>
    <t>20-Jan-26 5:06 PM EST</t>
  </si>
  <si>
    <t>21-Jan-26 1:49 PM EST</t>
  </si>
  <si>
    <t>27-Jan-26 12:01 AM EST</t>
  </si>
  <si>
    <t>28-Jan-26 11:59 PM EST</t>
  </si>
  <si>
    <t>4,032.19 lb</t>
  </si>
  <si>
    <t>22-Jan-26 8:41 AM EST</t>
  </si>
  <si>
    <t>Interior Door slabs</t>
  </si>
  <si>
    <t>28-Jan-26 11:59 PM CST</t>
  </si>
  <si>
    <t>7,403 lb</t>
  </si>
  <si>
    <t>23-Jan-26 2:41 PM EST</t>
  </si>
  <si>
    <t>100 in  x 20 in  x 24 in  - jack posts</t>
  </si>
  <si>
    <t>PRO DESK LOWES #2301</t>
  </si>
  <si>
    <t>CHICAGO</t>
  </si>
  <si>
    <t>48 lb</t>
  </si>
  <si>
    <t>26-Jan-26 9:21 AM EST</t>
  </si>
  <si>
    <t>33 in x 30 in x 12 in - cabinet accessories</t>
  </si>
  <si>
    <t>28-Jan-26 1:44 PM EST</t>
  </si>
  <si>
    <t>BLUELINX TAMPA</t>
  </si>
  <si>
    <t>TAMPA</t>
  </si>
  <si>
    <t>1,201 mi</t>
  </si>
  <si>
    <t>28-Jan-26 12:01 AM EST</t>
  </si>
  <si>
    <t>30-Jan-26 11:59 PM EST</t>
  </si>
  <si>
    <t>5,376 lb</t>
  </si>
  <si>
    <t>27-Jan-26 1:26 PM EST</t>
  </si>
  <si>
    <t>28-Jan-26 1:53 PM EST</t>
  </si>
  <si>
    <t>28-Jan-26 8:00 AM CST</t>
  </si>
  <si>
    <t>29-Jan-26 5:00 PM EST</t>
  </si>
  <si>
    <t>27-Jan-26 4:49 PM EST</t>
  </si>
  <si>
    <t>Curtainside van accessories - 121 in x 6 in x 2 in</t>
  </si>
  <si>
    <t>28-Jan-26 2:42 PM CST</t>
  </si>
  <si>
    <t>29-Jan-26 12:01 AM EST</t>
  </si>
  <si>
    <t>28-Jan-26 10:51 AM EST</t>
  </si>
  <si>
    <t>48 in x 96 in board w/insulation</t>
  </si>
  <si>
    <t>29-Jan-26 3:40 PM EST</t>
  </si>
  <si>
    <t>TAMLYN &amp; SONS, INC.      20300</t>
  </si>
  <si>
    <t>STAFFORD</t>
  </si>
  <si>
    <t>IMPORT AND EXPORT SOLUTIONS</t>
  </si>
  <si>
    <t>DEERFIELD BEACH</t>
  </si>
  <si>
    <t>1,155 mi</t>
  </si>
  <si>
    <t>30-Jan-26 12:01 AM CST</t>
  </si>
  <si>
    <t>10 lb</t>
  </si>
  <si>
    <t>29-Jan-26 12:16 PM EST</t>
  </si>
  <si>
    <t>10 ft Moulding</t>
  </si>
  <si>
    <t>30-Jan-26 1:51 PM CST</t>
  </si>
  <si>
    <t>04-Feb-26 12:01 AM EST</t>
  </si>
  <si>
    <t>05-Feb-26 11:59 PM EST</t>
  </si>
  <si>
    <t>106 lb</t>
  </si>
  <si>
    <t>02-Feb-26 10:06 AM EST</t>
  </si>
  <si>
    <t>Flashing-Accessories - palletized</t>
  </si>
  <si>
    <t>04-Feb-26 9:35 AM EST</t>
  </si>
  <si>
    <t>Mike Fischer - warehouse</t>
  </si>
  <si>
    <t>Mooresville</t>
  </si>
  <si>
    <t>BlueLinx 5801B - Ace 2026 Spring Convention</t>
  </si>
  <si>
    <t>Louisville</t>
  </si>
  <si>
    <t>452 mi</t>
  </si>
  <si>
    <t>06-Feb-26 8:00 AM EST</t>
  </si>
  <si>
    <t>09-Feb-26 5:00 PM EST</t>
  </si>
  <si>
    <t>750 lb</t>
  </si>
  <si>
    <t>03-Feb-26 8:52 AM EST</t>
  </si>
  <si>
    <t>80in x 48in x 48in - flooring and siding samples</t>
  </si>
  <si>
    <t>518 mi</t>
  </si>
  <si>
    <t>09-Feb-26 12:01 AM CST</t>
  </si>
  <si>
    <t>11-Feb-26 11:59 PM EST</t>
  </si>
  <si>
    <t>137.87 lb</t>
  </si>
  <si>
    <t>05-Feb-26 12:36 PM EST</t>
  </si>
  <si>
    <t>Trim and accessories - palletized</t>
  </si>
  <si>
    <t>09-Feb-26 3:17 PM CST</t>
  </si>
  <si>
    <t>PRO DESK LOWES #0080</t>
  </si>
  <si>
    <t>CHAMPAIGN</t>
  </si>
  <si>
    <t>235 mi</t>
  </si>
  <si>
    <t>09-Feb-26 11:59 PM CST</t>
  </si>
  <si>
    <t>380 lb</t>
  </si>
  <si>
    <t>06-Feb-26 10:31 AM EST</t>
  </si>
  <si>
    <t>cabinet - standard pallet</t>
  </si>
  <si>
    <t>09-Feb-26 3:45 PM EST</t>
  </si>
  <si>
    <t>PRO DESK HOME DEPOT #2001</t>
  </si>
  <si>
    <t>MERRILLVILLE</t>
  </si>
  <si>
    <t>255 mi</t>
  </si>
  <si>
    <t>825 lb</t>
  </si>
  <si>
    <t>06-Feb-26 10:51 AM EST</t>
  </si>
  <si>
    <t>10-Feb-26 11:59 PM EST</t>
  </si>
  <si>
    <t>3,092.27 lb</t>
  </si>
  <si>
    <t>06-Feb-26 10:11 AM EST</t>
  </si>
  <si>
    <t>6ft-8ft pallets - railing and accessories</t>
  </si>
  <si>
    <t>09-Feb-26 1:41 PM CST</t>
  </si>
  <si>
    <t>BLUELINX - GULFPORT</t>
  </si>
  <si>
    <t>GULFPORT</t>
  </si>
  <si>
    <t>492 mi</t>
  </si>
  <si>
    <t>09-Feb-26 8:00 AM CST</t>
  </si>
  <si>
    <t>10-Feb-26 5:00 PM CST</t>
  </si>
  <si>
    <t>299 lb</t>
  </si>
  <si>
    <t>06-Feb-26 4:25 PM EST</t>
  </si>
  <si>
    <t>111 in x52 in x 6 in - curtainside accessories</t>
  </si>
  <si>
    <t>09-Feb-26 2:43 PM CST</t>
  </si>
  <si>
    <t>10-Feb-26 5:00 PM EST</t>
  </si>
  <si>
    <t>30 lb</t>
  </si>
  <si>
    <t>06-Feb-26 4:22 PM EST</t>
  </si>
  <si>
    <t>111 in x52 in x 6i n - curtainside accessories</t>
  </si>
  <si>
    <t>L&amp;L STRUCTURAL STEEL INC</t>
  </si>
  <si>
    <t>MIAMI</t>
  </si>
  <si>
    <t>BLUELINX - JACKSONVILLE</t>
  </si>
  <si>
    <t>YULEE</t>
  </si>
  <si>
    <t>364 mi</t>
  </si>
  <si>
    <t>09-Feb-26 11:59 PM EST</t>
  </si>
  <si>
    <t>2,801.23 lb</t>
  </si>
  <si>
    <t>06-Feb-26 5:46 PM EST</t>
  </si>
  <si>
    <t>10ft track system - accessories - palletized</t>
  </si>
  <si>
    <t>Superior Pool - El Paso # 540</t>
  </si>
  <si>
    <t>25-Feb-26 12:01 AM CST</t>
  </si>
  <si>
    <t>26-Feb-26 11:59 PM MST</t>
  </si>
  <si>
    <t>400 lb</t>
  </si>
  <si>
    <t>08-Feb-26 4:16 PM EST</t>
  </si>
  <si>
    <t>Bar Ties - boxed and palletized</t>
  </si>
  <si>
    <t>27-Feb-26 12:16 PM CST</t>
  </si>
  <si>
    <t>10-Feb-26 12:01 AM EST</t>
  </si>
  <si>
    <t>13-Feb-26 11:59 PM EST</t>
  </si>
  <si>
    <t>2,520.06 lb</t>
  </si>
  <si>
    <t>09-Feb-26 1:11 PM EST</t>
  </si>
  <si>
    <t>Rolls of housewrap - palletized</t>
  </si>
  <si>
    <t>10-Feb-26 1:48 PM EST</t>
  </si>
  <si>
    <t>CEDAR CREEK HOU</t>
  </si>
  <si>
    <t>HOUSTON</t>
  </si>
  <si>
    <t>17-Feb-26 12:01 AM CST</t>
  </si>
  <si>
    <t>19-Feb-26 11:59 PM CST</t>
  </si>
  <si>
    <t>4,256 lb</t>
  </si>
  <si>
    <t>11-Feb-26 5:31 PM EST</t>
  </si>
  <si>
    <t>Roofing wrap rolls - palletized</t>
  </si>
  <si>
    <t>17-Feb-26 1:46 PM CST</t>
  </si>
  <si>
    <t>CEDAR CREEK LIT</t>
  </si>
  <si>
    <t>NORTH LITTLE ROCK</t>
  </si>
  <si>
    <t>CEDAR CREEK HOUSTON</t>
  </si>
  <si>
    <t>432 mi</t>
  </si>
  <si>
    <t>13-Feb-26 12:01 AM CST</t>
  </si>
  <si>
    <t>16-Feb-26 11:59 PM CST</t>
  </si>
  <si>
    <t>56 lb</t>
  </si>
  <si>
    <t>12-Feb-26 11:46 AM EST</t>
  </si>
  <si>
    <t>Box of clips -palletized</t>
  </si>
  <si>
    <t>GULFEAGLE SPLY - WARWICK #108</t>
  </si>
  <si>
    <t>WARWICK</t>
  </si>
  <si>
    <t>RI</t>
  </si>
  <si>
    <t>850 mi</t>
  </si>
  <si>
    <t>13-Feb-26 12:01 AM EST</t>
  </si>
  <si>
    <t>93.77 lb</t>
  </si>
  <si>
    <t>12-Feb-26 11:31 AM EST</t>
  </si>
  <si>
    <t>Vinyl Moulding - palletized</t>
  </si>
  <si>
    <t>13-Feb-26 12:32 PM EST</t>
  </si>
  <si>
    <t>FIIM</t>
  </si>
  <si>
    <t>Pompano Beach</t>
  </si>
  <si>
    <t>PARADISE LBR, ORGILL #087148</t>
  </si>
  <si>
    <t>JACKSONVILLE</t>
  </si>
  <si>
    <t>17-Feb-26 12:01 AM EST</t>
  </si>
  <si>
    <t>17-Feb-26 11:59 PM EST</t>
  </si>
  <si>
    <t>660 lb</t>
  </si>
  <si>
    <t>16-Feb-26 8:41 AM EST</t>
  </si>
  <si>
    <t>Boxes of snaps ties - palletized</t>
  </si>
  <si>
    <t>17-Feb-26 4:19 PM EST</t>
  </si>
  <si>
    <t>744 mi</t>
  </si>
  <si>
    <t>17-Feb-26 8:00 AM CST</t>
  </si>
  <si>
    <t>19-Feb-26 5:00 PM CST</t>
  </si>
  <si>
    <t>22 lb</t>
  </si>
  <si>
    <t>16-Feb-26 4:43 PM EST</t>
  </si>
  <si>
    <t>114 in x 8 in x 4in - curtain van accessories</t>
  </si>
  <si>
    <t>18-Feb-26 11:40 AM CST</t>
  </si>
  <si>
    <t>91 mi</t>
  </si>
  <si>
    <t>2,198.88 lb</t>
  </si>
  <si>
    <t>16-Feb-26 2:26 PM EST</t>
  </si>
  <si>
    <t>Jackposts 7ft - palletized</t>
  </si>
  <si>
    <t>18-Feb-26 3:42 PM EST</t>
  </si>
  <si>
    <t>17-Feb-26 11:59 PM CST</t>
  </si>
  <si>
    <t>1,507.2 lb</t>
  </si>
  <si>
    <t>409 mi</t>
  </si>
  <si>
    <t>19-Mar-26 12:01 AM EDT</t>
  </si>
  <si>
    <t>20-Mar-26 11:59 PM EDT</t>
  </si>
  <si>
    <t>16-Feb-26 3:16 PM EST</t>
  </si>
  <si>
    <t>Leviat â€“ San Antonio</t>
  </si>
  <si>
    <t>SAN ANTONIO</t>
  </si>
  <si>
    <t>19-Feb-26 12:01 AM CST</t>
  </si>
  <si>
    <t>18-Feb-26 8:16 AM EST</t>
  </si>
  <si>
    <t>5 IN X 5 IN PLASTIC PLATES BOXED - PALLETIZED</t>
  </si>
  <si>
    <t>19-Feb-26 12:44 PM CST</t>
  </si>
  <si>
    <t>952 mi</t>
  </si>
  <si>
    <t>19-Feb-26 12:01 AM EST</t>
  </si>
  <si>
    <t>20-Feb-26 11:59 PM CST</t>
  </si>
  <si>
    <t>1,344 lb</t>
  </si>
  <si>
    <t>18-Feb-26 3:01 PM EST</t>
  </si>
  <si>
    <t>24 in ground master posts - palletized</t>
  </si>
  <si>
    <t>19-Feb-26 12:45 PM EST</t>
  </si>
  <si>
    <t>23-Feb-26 12:01 AM EST</t>
  </si>
  <si>
    <t>24-Feb-26 11:59 PM CST</t>
  </si>
  <si>
    <t>68 lb</t>
  </si>
  <si>
    <t>19-Feb-26 9:31 AM EST</t>
  </si>
  <si>
    <t>44 in W x 44 in L x 30 in H - cabinet - palletized</t>
  </si>
  <si>
    <t>23-Feb-26 12:19 PM EST</t>
  </si>
  <si>
    <t>PRO DESK HOME DEPOT #1906</t>
  </si>
  <si>
    <t>ORLAND PARK</t>
  </si>
  <si>
    <t>290 mi</t>
  </si>
  <si>
    <t>23-Feb-26 11:59 PM CST</t>
  </si>
  <si>
    <t>128 lb</t>
  </si>
  <si>
    <t>19-Feb-26 11:06 AM EST</t>
  </si>
  <si>
    <t>96-1/2 L x 38 W x 7-1/2 H - cabinet - palletized</t>
  </si>
  <si>
    <t>23-Feb-26 11:59 PM EST</t>
  </si>
  <si>
    <t>2,415 lb</t>
  </si>
  <si>
    <t>20-Feb-26 5:11 PM EST</t>
  </si>
  <si>
    <t>4ftx4ftx92in - 4ftx8ftx 92 in - door jamb - palletized</t>
  </si>
  <si>
    <t>23-Feb-26 12:08 PM EST</t>
  </si>
  <si>
    <t>24-Feb-26 12:01 AM EST</t>
  </si>
  <si>
    <t>25-Feb-26 11:59 PM EST</t>
  </si>
  <si>
    <t>1,709.06 lb</t>
  </si>
  <si>
    <t>20-Feb-26 9:11 AM EST</t>
  </si>
  <si>
    <t>10ft - 12ft - Moulding units</t>
  </si>
  <si>
    <t>24-Feb-26 1:36 PM EST</t>
  </si>
  <si>
    <t>CHAMPION HOME BLDRS-WEISER</t>
  </si>
  <si>
    <t>WEISER</t>
  </si>
  <si>
    <t>ID</t>
  </si>
  <si>
    <t>1,841 mi</t>
  </si>
  <si>
    <t>24-Feb-26 11:59 PM MST</t>
  </si>
  <si>
    <t>4,725 lb</t>
  </si>
  <si>
    <t>23-Feb-26 9:01 AM EST</t>
  </si>
  <si>
    <t>4ft x 4ft x 92in - Door jambs and accessories</t>
  </si>
  <si>
    <t>24-Feb-26 12:55 PM EST</t>
  </si>
  <si>
    <t>2,695 lb</t>
  </si>
  <si>
    <t>23-Feb-26 7:31 AM EST</t>
  </si>
  <si>
    <t>4ft x 4ft x 96 in - 4ft x 8ft - pallets - door accessroies</t>
  </si>
  <si>
    <t>CHAMPION HOME BLDRS - MCMINNVI</t>
  </si>
  <si>
    <t>MCMINNVILLE</t>
  </si>
  <si>
    <t>OR</t>
  </si>
  <si>
    <t>2,211 mi</t>
  </si>
  <si>
    <t>25-Feb-26 12:01 AM EST</t>
  </si>
  <si>
    <t>25-Feb-26 11:59 PM PST</t>
  </si>
  <si>
    <t>1,610 lb</t>
  </si>
  <si>
    <t>24-Feb-26 8:41 AM EST</t>
  </si>
  <si>
    <t>4ftx4ftx92in -  door accessories- palletized</t>
  </si>
  <si>
    <t>25-Feb-26 12:03 PM EST</t>
  </si>
  <si>
    <t>TEXAS POOL SUPPLY - FW (HPSG)</t>
  </si>
  <si>
    <t>25-Feb-26 11:59 PM MST</t>
  </si>
  <si>
    <t>1,800 lb</t>
  </si>
  <si>
    <t>24-Feb-26 4:41 PM EST</t>
  </si>
  <si>
    <t>Bar ties - boxed and palletized</t>
  </si>
  <si>
    <t>27-Feb-26 2:16 PM CST</t>
  </si>
  <si>
    <t>WHITECAP - AFS #416</t>
  </si>
  <si>
    <t>Madison`</t>
  </si>
  <si>
    <t>WI</t>
  </si>
  <si>
    <t>314 mi</t>
  </si>
  <si>
    <t>26-Feb-26 11:59 PM CST</t>
  </si>
  <si>
    <t>4,875.19 lb</t>
  </si>
  <si>
    <t>24-Feb-26 1:26 PM EST</t>
  </si>
  <si>
    <t>Boxed Nails - palletized</t>
  </si>
  <si>
    <t>25-Feb-26 12:16 PM EST</t>
  </si>
  <si>
    <t>CHAMPION HOME - WOODLAND #237</t>
  </si>
  <si>
    <t>WOODLAND</t>
  </si>
  <si>
    <t>2,146 mi</t>
  </si>
  <si>
    <t>26-Feb-26 12:01 AM EST</t>
  </si>
  <si>
    <t>26-Feb-26 11:59 PM PST</t>
  </si>
  <si>
    <t>25-Feb-26 8:26 AM EST</t>
  </si>
  <si>
    <t>4ftx4ftx 92in - Door jambs - palletized</t>
  </si>
  <si>
    <t>26-Feb-26 12:50 PM EST</t>
  </si>
  <si>
    <t>CHAMPION HOME BLDRS-SAN JACINT</t>
  </si>
  <si>
    <t>SAN JACINTO</t>
  </si>
  <si>
    <t>2,098 mi</t>
  </si>
  <si>
    <t>4,025 lb</t>
  </si>
  <si>
    <t>25-Feb-26 8:41 AM EST</t>
  </si>
  <si>
    <t>4ftx4ftx92in - door jamb and accessories - palletized</t>
  </si>
  <si>
    <t>2,109 mi</t>
  </si>
  <si>
    <t>2,771.21 lb</t>
  </si>
  <si>
    <t>25-Feb-26 11:01 AM EST</t>
  </si>
  <si>
    <t>12ft j-channel palletized</t>
  </si>
  <si>
    <t>CAVCO EMLENTON</t>
  </si>
  <si>
    <t>EMLENTON</t>
  </si>
  <si>
    <t>27-Feb-26 12:01 AM EST</t>
  </si>
  <si>
    <t>27-Feb-26 11:59 PM EST</t>
  </si>
  <si>
    <t>345 lb</t>
  </si>
  <si>
    <t>26-Feb-26 1:21 PM EST</t>
  </si>
  <si>
    <t>4ft x 4ft x 92in -door jams and accessories - palletized</t>
  </si>
  <si>
    <t>27-Feb-26 11:34 AM EST</t>
  </si>
  <si>
    <t>Bellingham</t>
  </si>
  <si>
    <t>LOWES #1967 ONEONTA</t>
  </si>
  <si>
    <t>ONEONTA</t>
  </si>
  <si>
    <t>225 mi</t>
  </si>
  <si>
    <t>02-Mar-26 11:59 PM EST</t>
  </si>
  <si>
    <t>527.17 lb</t>
  </si>
  <si>
    <t>26-Feb-26 8:36 AM EST</t>
  </si>
  <si>
    <t>Foffit-Rebar pins-siding 12ft - palletized</t>
  </si>
  <si>
    <t>27-Feb-26 11:15 AM EST</t>
  </si>
  <si>
    <t>CHAMPION HOME BLDRS-CLAYSBURG</t>
  </si>
  <si>
    <t>CLAYSBURG</t>
  </si>
  <si>
    <t>445 mi</t>
  </si>
  <si>
    <t>03-Mar-26 11:59 PM EST</t>
  </si>
  <si>
    <t>1,460 lb</t>
  </si>
  <si>
    <t>26-Feb-26 10:11 AM EST</t>
  </si>
  <si>
    <t>4ftx4ftx92in - door jambs and accessories - palletized</t>
  </si>
  <si>
    <t>27-Feb-26 11:35 AM EST</t>
  </si>
  <si>
    <t>SATELLITE SHELTERS INC</t>
  </si>
  <si>
    <t>HAMILTON</t>
  </si>
  <si>
    <t>196 mi</t>
  </si>
  <si>
    <t>02-Mar-26 12:01 AM EST</t>
  </si>
  <si>
    <t>1,050 lb</t>
  </si>
  <si>
    <t>27-Feb-26 1:56 PM EST</t>
  </si>
  <si>
    <t>02-Mar-26 12:31 PM EST</t>
  </si>
  <si>
    <t>03-Mar-26 12:01 AM EST</t>
  </si>
  <si>
    <t>03-Mar-26 11:59 PM CST</t>
  </si>
  <si>
    <t>2,665 lb</t>
  </si>
  <si>
    <t>02-Mar-26 3:16 PM EST</t>
  </si>
  <si>
    <t>03-Mar-26 12:25 PM EST</t>
  </si>
  <si>
    <t>BLUELINX EL PASO</t>
  </si>
  <si>
    <t>EL PASO</t>
  </si>
  <si>
    <t>LOWES #1429 BEAUMONT CA FDC</t>
  </si>
  <si>
    <t>BEAUMONT</t>
  </si>
  <si>
    <t>695 mi</t>
  </si>
  <si>
    <t>03-Mar-26 12:01 AM MST</t>
  </si>
  <si>
    <t>05-Mar-26 11:59 PM PST</t>
  </si>
  <si>
    <t>3,408.34 lb</t>
  </si>
  <si>
    <t>02-Mar-26 1:36 PM EST</t>
  </si>
  <si>
    <t>4ft and 10ft units - home framing accessories</t>
  </si>
  <si>
    <t>03-Mar-26 12:27 PM MST</t>
  </si>
  <si>
    <t>CEDAR CREEK KSC</t>
  </si>
  <si>
    <t>KANSAS CITY</t>
  </si>
  <si>
    <t>BLUELINX MEM</t>
  </si>
  <si>
    <t>MEMPHIS</t>
  </si>
  <si>
    <t>469 mi</t>
  </si>
  <si>
    <t>04-Mar-26 12:01 AM CST</t>
  </si>
  <si>
    <t>06-Mar-26 11:59 PM CST</t>
  </si>
  <si>
    <t>1,464 lb</t>
  </si>
  <si>
    <t>03-Mar-26 8:51 AM EST</t>
  </si>
  <si>
    <t>4ft Greenbar - Fiberbar- palletized</t>
  </si>
  <si>
    <t>04-Mar-26 12:01 AM EST</t>
  </si>
  <si>
    <t>04-Mar-26 11:59 PM PST</t>
  </si>
  <si>
    <t>03-Mar-26 11:56 AM EST</t>
  </si>
  <si>
    <t>04-Mar-26 11:50 AM EST</t>
  </si>
  <si>
    <t>841 mi</t>
  </si>
  <si>
    <t>04-Mar-26 8:00 AM CST</t>
  </si>
  <si>
    <t>05-Mar-26 5:00 PM EST</t>
  </si>
  <si>
    <t>03-Mar-26 11:49 AM EST</t>
  </si>
  <si>
    <t>Curtainside van accessories -</t>
  </si>
  <si>
    <t>05-Mar-26 2:10 PM CST</t>
  </si>
  <si>
    <t>05-Mar-26 11:59 PM EST</t>
  </si>
  <si>
    <t>6,528.38 lb</t>
  </si>
  <si>
    <t>03-Mar-26 1:26 PM EST</t>
  </si>
  <si>
    <t>04-Mar-26 12:16 PM EST</t>
  </si>
  <si>
    <t>05-Mar-26 12:01 AM EST</t>
  </si>
  <si>
    <t>05-Mar-26 11:59 PM CST</t>
  </si>
  <si>
    <t>64 lb</t>
  </si>
  <si>
    <t>04-Mar-26 12:21 PM EST</t>
  </si>
  <si>
    <t>96-1/2 L x 7 in H x 35 in H - cabinet - palletized</t>
  </si>
  <si>
    <t>05-Mar-26 1:26 PM EST</t>
  </si>
  <si>
    <t>BLUELINX LUBBOCK</t>
  </si>
  <si>
    <t>LUBBOCK</t>
  </si>
  <si>
    <t>1,011 mi</t>
  </si>
  <si>
    <t>05-Mar-26 12:01 AM CST</t>
  </si>
  <si>
    <t>06-Mar-26 11:59 PM PST</t>
  </si>
  <si>
    <t>3,134.18 lb</t>
  </si>
  <si>
    <t>04-Mar-26 2:51 PM EST</t>
  </si>
  <si>
    <t>Roll of netting - palletized</t>
  </si>
  <si>
    <t>05-Mar-26 1:20 PM CST</t>
  </si>
  <si>
    <t>06-Mar-26 12:01 AM EST</t>
  </si>
  <si>
    <t>10-Mar-26 11:59 PM EDT</t>
  </si>
  <si>
    <t>1,425 lb</t>
  </si>
  <si>
    <t>05-Mar-26 8:51 AM EST</t>
  </si>
  <si>
    <t>06-Mar-26 12:47 PM EST</t>
  </si>
  <si>
    <t>06-Mar-26 8:00 AM CST</t>
  </si>
  <si>
    <t>10-Mar-26 5:00 PM EDT</t>
  </si>
  <si>
    <t>51 lb</t>
  </si>
  <si>
    <t>05-Mar-26 3:10 PM EST</t>
  </si>
  <si>
    <t>108 in x 10 x 4 - curtainside accessories - palletized</t>
  </si>
  <si>
    <t>06-Mar-26 1:15 AM CST</t>
  </si>
  <si>
    <t>10,393.6 lb</t>
  </si>
  <si>
    <t>05-Mar-26 3:16 PM EST</t>
  </si>
  <si>
    <t>2x2x8ft Fir strips - palletized</t>
  </si>
  <si>
    <t>09-Mar-26 2:45 PM EDT</t>
  </si>
  <si>
    <t>656 mi</t>
  </si>
  <si>
    <t>17-Mar-26 12:01 AM EDT</t>
  </si>
  <si>
    <t>18-Mar-26 11:59 PM CDT</t>
  </si>
  <si>
    <t>543.2 lb</t>
  </si>
  <si>
    <t>05-Mar-26 11:51 AM EST</t>
  </si>
  <si>
    <t>Underlayment - palletized</t>
  </si>
  <si>
    <t>17-Mar-26 9:15 AM EDT</t>
  </si>
  <si>
    <t>BLUELINX DAVENPORT</t>
  </si>
  <si>
    <t>1,104 mi</t>
  </si>
  <si>
    <t>09-Mar-26 12:01 AM EDT</t>
  </si>
  <si>
    <t>10-Mar-26 11:59 PM CDT</t>
  </si>
  <si>
    <t>82.16 lb</t>
  </si>
  <si>
    <t>06-Mar-26 5:01 PM EST</t>
  </si>
  <si>
    <t>railing and accessories palletized 36in</t>
  </si>
  <si>
    <t>09-Mar-26 12:03 PM EDT</t>
  </si>
  <si>
    <t>BLUELINX MSP</t>
  </si>
  <si>
    <t>347 mi</t>
  </si>
  <si>
    <t>09-Mar-26 12:01 AM CDT</t>
  </si>
  <si>
    <t>695.58 lb</t>
  </si>
  <si>
    <t>06-Mar-26 12:06 PM EST</t>
  </si>
  <si>
    <t>09-Mar-26 10:28 AM CDT</t>
  </si>
  <si>
    <t>277 mi</t>
  </si>
  <si>
    <t>11-Mar-26 11:59 PM CDT</t>
  </si>
  <si>
    <t>392 lb</t>
  </si>
  <si>
    <t>06-Mar-26 9:21 AM EST</t>
  </si>
  <si>
    <t>rolls of roof underlayment - palletized</t>
  </si>
  <si>
    <t>09-Mar-26 3:00 PM EDT</t>
  </si>
  <si>
    <t>Independence</t>
  </si>
  <si>
    <t>NORTHWEST BLDG RESOURCES INC</t>
  </si>
  <si>
    <t>FORT JENNINGS</t>
  </si>
  <si>
    <t>156 mi</t>
  </si>
  <si>
    <t>09-Mar-26 11:59 PM EDT</t>
  </si>
  <si>
    <t>275 lb</t>
  </si>
  <si>
    <t>06-Mar-26 1:16 PM EST</t>
  </si>
  <si>
    <t>09-Mar-26 11:38 AM EDT</t>
  </si>
  <si>
    <t>178 mi</t>
  </si>
  <si>
    <t>10-Mar-26 12:01 AM EDT</t>
  </si>
  <si>
    <t>310.2 lb</t>
  </si>
  <si>
    <t>09-Mar-26 9:11 AM EDT</t>
  </si>
  <si>
    <t>Rolls of sill seal - palletized</t>
  </si>
  <si>
    <t>10-Mar-26 10:15 AM EDT</t>
  </si>
  <si>
    <t>BLUELINX JACKSONVILLE</t>
  </si>
  <si>
    <t>1,041 mi</t>
  </si>
  <si>
    <t>12-Mar-26 12:01 AM EDT</t>
  </si>
  <si>
    <t>16-Mar-26 11:59 PM EDT</t>
  </si>
  <si>
    <t>1,815 lb</t>
  </si>
  <si>
    <t>09-Mar-26 9:51 AM EDT</t>
  </si>
  <si>
    <t>12-Mar-26 3:00 AM EDT</t>
  </si>
  <si>
    <t>11-Mar-26 12:01 AM EDT</t>
  </si>
  <si>
    <t>11-Mar-26 11:59 PM EDT</t>
  </si>
  <si>
    <t>3,118.71 lb</t>
  </si>
  <si>
    <t>10-Mar-26 5:06 PM EDT</t>
  </si>
  <si>
    <t>49 in x 97 in board</t>
  </si>
  <si>
    <t>11-Mar-26 4:00 PM EDT</t>
  </si>
  <si>
    <t>LOWES #2533 BISMARCK</t>
  </si>
  <si>
    <t>BISMARCK</t>
  </si>
  <si>
    <t>ND</t>
  </si>
  <si>
    <t>418 mi</t>
  </si>
  <si>
    <t>17-Mar-26 12:01 AM CDT</t>
  </si>
  <si>
    <t>23-Mar-26 11:59 PM CDT</t>
  </si>
  <si>
    <t>469.25 lb</t>
  </si>
  <si>
    <t>10-Mar-26 9:36 AM EDT</t>
  </si>
  <si>
    <t>12ft trim-siding accessories - palletized</t>
  </si>
  <si>
    <t>17-Mar-26 10:48 AM CDT</t>
  </si>
  <si>
    <t>24-Mar-26 12:01 AM EDT</t>
  </si>
  <si>
    <t>26-Mar-26 11:59 PM EDT</t>
  </si>
  <si>
    <t>12-Mar-26 12:26 PM EDT</t>
  </si>
  <si>
    <t>4x10 PVS sheets - palletized</t>
  </si>
  <si>
    <t>425 mi</t>
  </si>
  <si>
    <t>13-Mar-26 12:01 AM EDT</t>
  </si>
  <si>
    <t>17-Mar-26 11:59 PM CDT</t>
  </si>
  <si>
    <t>469.8 lb</t>
  </si>
  <si>
    <t>12-Mar-26 4:16 PM EDT</t>
  </si>
  <si>
    <t>Metal accessories - palletized</t>
  </si>
  <si>
    <t>13-Mar-26 10:55 AM EDT</t>
  </si>
  <si>
    <t>16-Mar-26 12:01 AM EDT</t>
  </si>
  <si>
    <t>12-Mar-26 3:31 PM EDT</t>
  </si>
  <si>
    <t>16-Mar-26 12:39 PM EDT</t>
  </si>
  <si>
    <t>13-Mar-26 12:01 AM CDT</t>
  </si>
  <si>
    <t>13-Mar-26 11:59 PM MDT</t>
  </si>
  <si>
    <t>12-Mar-26 12:51 PM EDT</t>
  </si>
  <si>
    <t>Concrete accesssories</t>
  </si>
  <si>
    <t>13-Mar-26 11:11 AM CDT</t>
  </si>
  <si>
    <t>CHAMPION (WEISER) HOME BLDRS</t>
  </si>
  <si>
    <t>4,900 lb</t>
  </si>
  <si>
    <t>Dimensions: 4â€™ x 4â€™ x 92â€H - doors slabs</t>
  </si>
  <si>
    <t>13-Mar-26 12:04 PM EDT</t>
  </si>
  <si>
    <t>Champion Home Builders</t>
  </si>
  <si>
    <t>leola</t>
  </si>
  <si>
    <t>4,434 lb</t>
  </si>
  <si>
    <t>13-Mar-26 11:56 AM EDT</t>
  </si>
  <si>
    <t>Door jams-slabs - palletized</t>
  </si>
  <si>
    <t>18-Mar-26 11:02 AM EDT</t>
  </si>
  <si>
    <t>661 mi</t>
  </si>
  <si>
    <t>23-Mar-26 11:59 PM EDT</t>
  </si>
  <si>
    <t>2,850 lb</t>
  </si>
  <si>
    <t>16-Mar-26 8:31 AM EDT</t>
  </si>
  <si>
    <t>Door jambs - accessories</t>
  </si>
  <si>
    <t>1,290 lb</t>
  </si>
  <si>
    <t>16-Mar-26 1:11 PM EDT</t>
  </si>
  <si>
    <t>536 mi</t>
  </si>
  <si>
    <t>17-Mar-26 8:00 AM CDT</t>
  </si>
  <si>
    <t>19-Mar-26 5:00 PM EDT</t>
  </si>
  <si>
    <t>884 lb</t>
  </si>
  <si>
    <t>16-Mar-26 12:22 PM EDT</t>
  </si>
  <si>
    <t>119 in x45 in x 30 in curtain van accessories</t>
  </si>
  <si>
    <t>19-Mar-26 11:59 PM CDT</t>
  </si>
  <si>
    <t>874.61 lb</t>
  </si>
  <si>
    <t>16-Mar-26 11:46 AM EDT</t>
  </si>
  <si>
    <t>Metal accesories 10ft - palletized</t>
  </si>
  <si>
    <t>PRO DESK HOME DEPOT #6923</t>
  </si>
  <si>
    <t>SOUTH ELGIN</t>
  </si>
  <si>
    <t>329 mi</t>
  </si>
  <si>
    <t>111 lb</t>
  </si>
  <si>
    <t>44 in x 44 in x 42 in cabinet - accessories</t>
  </si>
  <si>
    <t>17-Mar-26 1:41 PM EDT</t>
  </si>
  <si>
    <t>17-Mar-26 11:59 PM EDT</t>
  </si>
  <si>
    <t>5,184 lb</t>
  </si>
  <si>
    <t>16-Mar-26 4:56 PM EDT</t>
  </si>
  <si>
    <t>8ft jack posts - palletized</t>
  </si>
  <si>
    <t>9 ea</t>
  </si>
  <si>
    <t>17-Mar-26 3:20 PM EDT</t>
  </si>
  <si>
    <t>TAL Holdings</t>
  </si>
  <si>
    <t>Chelan</t>
  </si>
  <si>
    <t>177 mi</t>
  </si>
  <si>
    <t>20-Mar-26 8:00 AM PDT</t>
  </si>
  <si>
    <t>24-Mar-26 5:00 PM PDT</t>
  </si>
  <si>
    <t>65 lb</t>
  </si>
  <si>
    <t>18-Mar-26 12:59 PM EDT</t>
  </si>
  <si>
    <t>Drip cpa panels - 10ft - palletized</t>
  </si>
  <si>
    <t>NU-VUE INDUSTRIES</t>
  </si>
  <si>
    <t>HIALEAH</t>
  </si>
  <si>
    <t>365 mi</t>
  </si>
  <si>
    <t>23-Mar-26 12:01 AM EDT</t>
  </si>
  <si>
    <t>24-Mar-26 11:59 PM EDT</t>
  </si>
  <si>
    <t>184 lb</t>
  </si>
  <si>
    <t>20-Mar-26 12:31 PM EDT</t>
  </si>
  <si>
    <t>Boxes of galvanied anchors - palletized</t>
  </si>
  <si>
    <t>23-Mar-26 2:31 PM EDT</t>
  </si>
  <si>
    <t>25-Mar-26 11:59 PM EDT</t>
  </si>
  <si>
    <t>576 lb</t>
  </si>
  <si>
    <t>20-Mar-26 5:01 PM EDT</t>
  </si>
  <si>
    <t>24-Mar-26 11:59 PM PDT</t>
  </si>
  <si>
    <t>3,870 lb</t>
  </si>
  <si>
    <t>23-Mar-26 8:31 AM EDT</t>
  </si>
  <si>
    <t>24-Mar-26 10:26 AM EDT</t>
  </si>
  <si>
    <t>2,155 lb</t>
  </si>
  <si>
    <t>Doors and accessories - palletized</t>
  </si>
  <si>
    <t>BLUELINX SAN ANTONIO</t>
  </si>
  <si>
    <t>25-Mar-26 12:01 AM CDT</t>
  </si>
  <si>
    <t>26-Mar-26 11:59 PM CDT</t>
  </si>
  <si>
    <t>554.4 lb</t>
  </si>
  <si>
    <t>24-Mar-26 9:31 AM EDT</t>
  </si>
  <si>
    <t>4x4 doors - tape</t>
  </si>
  <si>
    <t>ANTHONY OAK FLOORING</t>
  </si>
  <si>
    <t>MAGNOLIA</t>
  </si>
  <si>
    <t>RUSSELL-MOORE LUMBER, INC9758</t>
  </si>
  <si>
    <t>MONROE</t>
  </si>
  <si>
    <t>LA</t>
  </si>
  <si>
    <t>118 mi</t>
  </si>
  <si>
    <t>26-Mar-26 12:01 AM CDT</t>
  </si>
  <si>
    <t>27-Mar-26 11:59 PM CDT</t>
  </si>
  <si>
    <t>2,276.82 lb</t>
  </si>
  <si>
    <t>24-Mar-26 12:31 PM EDT</t>
  </si>
  <si>
    <t>42â€ wide x 30â€ tall X 90â€ long  Red Oak flooring</t>
  </si>
  <si>
    <t>ANCHOR LBR #3740</t>
  </si>
  <si>
    <t>SILVIS</t>
  </si>
  <si>
    <t>411 mi</t>
  </si>
  <si>
    <t>25-Mar-26 12:01 AM EDT</t>
  </si>
  <si>
    <t>25-Mar-26 11:59 PM CDT</t>
  </si>
  <si>
    <t>44 lb</t>
  </si>
  <si>
    <t>24-Mar-26 1:31 PM EDT</t>
  </si>
  <si>
    <t>15-Oct-25 12:01 AM CDT</t>
  </si>
  <si>
    <t>15-Oct-25 11:59 PM MDT</t>
  </si>
  <si>
    <t>1,271.64 lb</t>
  </si>
  <si>
    <t>Southeastern Freight</t>
  </si>
  <si>
    <t>SEFL</t>
  </si>
  <si>
    <t>10-Oct-25 2:36 PM EDT</t>
  </si>
  <si>
    <t>Tampa</t>
  </si>
  <si>
    <t>TIBBETTS-PENSACOLA, LMC 408600</t>
  </si>
  <si>
    <t>15-Oct-25 12:01 AM EDT</t>
  </si>
  <si>
    <t>15-Oct-25 11:59 PM CDT</t>
  </si>
  <si>
    <t>14-Oct-25 2:26 PM EDT</t>
  </si>
  <si>
    <t>1 palletized - boxes of sealant</t>
  </si>
  <si>
    <t>15-Oct-25 1:53 PM EDT</t>
  </si>
  <si>
    <t>BLUELINX TULSA</t>
  </si>
  <si>
    <t>287 mi</t>
  </si>
  <si>
    <t>03-Oct-25 12:01 AM CDT</t>
  </si>
  <si>
    <t>354.06 lb</t>
  </si>
  <si>
    <t>20-Oct-25 11:41 AM EDT</t>
  </si>
  <si>
    <t>shingles</t>
  </si>
  <si>
    <t>23-Oct-25 12:01 AM EDT</t>
  </si>
  <si>
    <t>23-Oct-25 11:59 PM EDT</t>
  </si>
  <si>
    <t>22-Oct-25 3:46 PM EDT</t>
  </si>
  <si>
    <t>23-Oct-25 3:25 PM EDT</t>
  </si>
  <si>
    <t>273 mi</t>
  </si>
  <si>
    <t>27-Oct-25 12:01 AM EDT</t>
  </si>
  <si>
    <t>27-Oct-25 11:59 PM CDT</t>
  </si>
  <si>
    <t>112.8 lb</t>
  </si>
  <si>
    <t>22-Oct-25 10:46 AM EDT</t>
  </si>
  <si>
    <t>27-Oct-25 12:55 PM EDT</t>
  </si>
  <si>
    <t>844 mi</t>
  </si>
  <si>
    <t>28-Oct-25 12:01 AM EDT</t>
  </si>
  <si>
    <t>28-Oct-25 11:59 PM CDT</t>
  </si>
  <si>
    <t>3,916.8 lb</t>
  </si>
  <si>
    <t>23-Oct-25 9:31 AM EDT</t>
  </si>
  <si>
    <t>28-Oct-25 12:25 PM EDT</t>
  </si>
  <si>
    <t>254.64 lb</t>
  </si>
  <si>
    <t>24-Oct-25 2:41 PM EDT</t>
  </si>
  <si>
    <t>23-Oct-25 12:55 PM EDT</t>
  </si>
  <si>
    <t>G PROULX LLC</t>
  </si>
  <si>
    <t>FORT LAUDERDALE</t>
  </si>
  <si>
    <t>RO - MAC LBR - MT DORA</t>
  </si>
  <si>
    <t>MOUNT DORA</t>
  </si>
  <si>
    <t>232 mi</t>
  </si>
  <si>
    <t>3,130 lb</t>
  </si>
  <si>
    <t>24-Oct-25 11:46 AM EDT</t>
  </si>
  <si>
    <t>24-Oct-25 4:17 PM EDT</t>
  </si>
  <si>
    <t>JENNINGS BUILDERS SUPPLY AND</t>
  </si>
  <si>
    <t>FLETCHER</t>
  </si>
  <si>
    <t>164 mi</t>
  </si>
  <si>
    <t>203.17 lb</t>
  </si>
  <si>
    <t>24-Oct-25 2:46 PM EDT</t>
  </si>
  <si>
    <t>CASCADES STUDENT COMMUNITY</t>
  </si>
  <si>
    <t>TALLAHASSEE</t>
  </si>
  <si>
    <t>179 mi</t>
  </si>
  <si>
    <t>04-Dec-25 12:01 AM EST</t>
  </si>
  <si>
    <t>25 lb</t>
  </si>
  <si>
    <t>24-Oct-25 1:56 PM EDT</t>
  </si>
  <si>
    <t>Sill Sealer - packaged</t>
  </si>
  <si>
    <t>04-Dec-25 12:30 PM EST</t>
  </si>
  <si>
    <t>VARIFORM INC-GAFFNEY</t>
  </si>
  <si>
    <t>GAFFNEY</t>
  </si>
  <si>
    <t>593 mi</t>
  </si>
  <si>
    <t>28-Oct-25 8:00 AM CDT</t>
  </si>
  <si>
    <t>30-Oct-25 5:00 PM EDT</t>
  </si>
  <si>
    <t>1,826 lb</t>
  </si>
  <si>
    <t>27-Oct-25 2:41 PM EDT</t>
  </si>
  <si>
    <t>Palletized shutters</t>
  </si>
  <si>
    <t>30-Oct-25 12:01 AM EDT</t>
  </si>
  <si>
    <t>30-Oct-25 11:59 PM CDT</t>
  </si>
  <si>
    <t>124.95 lb</t>
  </si>
  <si>
    <t>27-Oct-25 3:01 PM EDT</t>
  </si>
  <si>
    <t>30-Oct-25 12:58 PM EDT</t>
  </si>
  <si>
    <t>HB&amp;G BUILDING PRODUCTS</t>
  </si>
  <si>
    <t>TROY</t>
  </si>
  <si>
    <t>RANDALL BROTHERS - MARIETTA</t>
  </si>
  <si>
    <t>MARIETTA</t>
  </si>
  <si>
    <t>28-Oct-25 12:01 AM CDT</t>
  </si>
  <si>
    <t>28-Oct-25 11:59 PM EDT</t>
  </si>
  <si>
    <t>116 lb</t>
  </si>
  <si>
    <t>27-Oct-25 1:31 PM EDT</t>
  </si>
  <si>
    <t>28-Oct-25 4:12 PM CDT</t>
  </si>
  <si>
    <t>LANSING BLDG PROD-GARNER</t>
  </si>
  <si>
    <t>GARNER</t>
  </si>
  <si>
    <t>427 mi</t>
  </si>
  <si>
    <t>27-Oct-25 11:59 PM EDT</t>
  </si>
  <si>
    <t>107.74 lb</t>
  </si>
  <si>
    <t>27-Oct-25 12:06 PM EDT</t>
  </si>
  <si>
    <t>27-Oct-25 3:54 PM EDT</t>
  </si>
  <si>
    <t>29-Oct-25 12:01 AM CDT</t>
  </si>
  <si>
    <t>29-Oct-25 11:59 PM MDT</t>
  </si>
  <si>
    <t>350 lb</t>
  </si>
  <si>
    <t>28-Oct-25 8:26 AM EDT</t>
  </si>
  <si>
    <t>Metal Concrete Accessories</t>
  </si>
  <si>
    <t>29-Oct-25 3:15 PM CDT</t>
  </si>
  <si>
    <t>Habour International - Grace HT</t>
  </si>
  <si>
    <t>Miami</t>
  </si>
  <si>
    <t>29-Oct-25 8:00 AM EDT</t>
  </si>
  <si>
    <t>31-Oct-25 5:00 PM EDT</t>
  </si>
  <si>
    <t>10,750 lb</t>
  </si>
  <si>
    <t>28-Oct-25 12:05 PM EDT</t>
  </si>
  <si>
    <t>Masonry Nails - palletized</t>
  </si>
  <si>
    <t>JENNINGS BLDG SUPPLY-FRANKLIN</t>
  </si>
  <si>
    <t>FRANKLIN</t>
  </si>
  <si>
    <t>107 mi</t>
  </si>
  <si>
    <t>52 lb</t>
  </si>
  <si>
    <t>29-Oct-25 9:01 AM EDT</t>
  </si>
  <si>
    <t>28-Oct-25 12:58 PM EDT</t>
  </si>
  <si>
    <t>30-Oct-25 4:11 PM EDT</t>
  </si>
  <si>
    <t>30-Oct-25 4:38 PM EDT</t>
  </si>
  <si>
    <t>ABC #507 - ST AUGUSTINE FL</t>
  </si>
  <si>
    <t>VINTON</t>
  </si>
  <si>
    <t>529 mi</t>
  </si>
  <si>
    <t>399 lb</t>
  </si>
  <si>
    <t>30-Oct-25 3:36 PM EDT</t>
  </si>
  <si>
    <t>06-Nov-25 3:11 PM EST</t>
  </si>
  <si>
    <t>31-Oct-25 1:44 PM EDT</t>
  </si>
  <si>
    <t>05-Nov-25 11:59 PM EST</t>
  </si>
  <si>
    <t>300 lb</t>
  </si>
  <si>
    <t>05-Nov-25 12:11 PM EST</t>
  </si>
  <si>
    <t>05-Nov-25 2:16 PM EST</t>
  </si>
  <si>
    <t>07-Nov-25 12:01 AM EST</t>
  </si>
  <si>
    <t>240.03 lb</t>
  </si>
  <si>
    <t>07-Nov-25 10:06 AM EST</t>
  </si>
  <si>
    <t>07-Nov-25 2:16 PM EST</t>
  </si>
  <si>
    <t>13-Nov-25 12:01 AM EST</t>
  </si>
  <si>
    <t>13-Nov-25 11:59 PM CST</t>
  </si>
  <si>
    <t>75 lb</t>
  </si>
  <si>
    <t>10-Nov-25 10:41 AM EST</t>
  </si>
  <si>
    <t>13-Nov-25 2:16 PM EST</t>
  </si>
  <si>
    <t>11-Nov-25 12:01 AM EST</t>
  </si>
  <si>
    <t>10-Nov-25 3:26 PM EST</t>
  </si>
  <si>
    <t>11-Nov-25 3:28 PM EST</t>
  </si>
  <si>
    <t>CBC WAREHOUSE</t>
  </si>
  <si>
    <t>SAVANNAH</t>
  </si>
  <si>
    <t>947 mi</t>
  </si>
  <si>
    <t>2,400 lb</t>
  </si>
  <si>
    <t>11-Nov-25 8:31 AM EST</t>
  </si>
  <si>
    <t>palletized - nails</t>
  </si>
  <si>
    <t>11-Nov-25 4:04 PM EST</t>
  </si>
  <si>
    <t>1,142 mi</t>
  </si>
  <si>
    <t>10,965.36 lb</t>
  </si>
  <si>
    <t>Nailes - palletized</t>
  </si>
  <si>
    <t>BLUELINX - LAWRENCEVILLE</t>
  </si>
  <si>
    <t>237 mi</t>
  </si>
  <si>
    <t>14-Nov-25 8:00 AM EST</t>
  </si>
  <si>
    <t>17-Nov-25 5:00 PM EST</t>
  </si>
  <si>
    <t>13-Nov-25 9:55 AM EST</t>
  </si>
  <si>
    <t>48 in x 96 in Plywood - palletized</t>
  </si>
  <si>
    <t>CARIBBEAN WOODS LTD</t>
  </si>
  <si>
    <t>MEDLEY</t>
  </si>
  <si>
    <t>366 mi</t>
  </si>
  <si>
    <t>6,500 lb</t>
  </si>
  <si>
    <t>14-Nov-25 8:01 AM EST</t>
  </si>
  <si>
    <t>Rolled roofing wrap - palletized</t>
  </si>
  <si>
    <t>14-Nov-25 2:06 PM EST</t>
  </si>
  <si>
    <t>SkyTown Site C</t>
  </si>
  <si>
    <t>St Petersburg</t>
  </si>
  <si>
    <t>21 mi</t>
  </si>
  <si>
    <t>02-Dec-25 11:56 AM EST</t>
  </si>
  <si>
    <t>3,780.09 lb</t>
  </si>
  <si>
    <t>08-Dec-25 1:16 PM EST</t>
  </si>
  <si>
    <t>05-Dec-25 2:00 PM EST</t>
  </si>
  <si>
    <t>0 mi</t>
  </si>
  <si>
    <t>09-Dec-25 6:51 AM EST</t>
  </si>
  <si>
    <t>COCNCRETE ACCESORIES</t>
  </si>
  <si>
    <t>501 mi</t>
  </si>
  <si>
    <t>10-Dec-25 12:01 AM CST</t>
  </si>
  <si>
    <t>10-Dec-25 11:59 PM CST</t>
  </si>
  <si>
    <t>845.84 lb</t>
  </si>
  <si>
    <t>10-Dec-25 3:51 PM EST</t>
  </si>
  <si>
    <t>POST</t>
  </si>
  <si>
    <t>10-Dec-25 1:21 PM CST</t>
  </si>
  <si>
    <t>Superior Pool Products â€“ Â 540A El Paso</t>
  </si>
  <si>
    <t>el paso</t>
  </si>
  <si>
    <t>12-Dec-25 8:00 AM CST</t>
  </si>
  <si>
    <t>12-Dec-25 5:00 PM MST</t>
  </si>
  <si>
    <t>12-Dec-25 9:05 AM EST</t>
  </si>
  <si>
    <t>concrete accessories</t>
  </si>
  <si>
    <t>RONALDS SERVICENTRE - FT LAUDE</t>
  </si>
  <si>
    <t>RIVERIA BEACH</t>
  </si>
  <si>
    <t>300 mi</t>
  </si>
  <si>
    <t>18-Dec-25 12:01 AM EST</t>
  </si>
  <si>
    <t>17-Dec-25 5:16 PM EST</t>
  </si>
  <si>
    <t>Column accessories</t>
  </si>
  <si>
    <t>18-Dec-25 1:38 PM EST</t>
  </si>
  <si>
    <t>HORNER XPRESS - HOLLY HILL</t>
  </si>
  <si>
    <t>HOLLY HILL</t>
  </si>
  <si>
    <t>140 mi</t>
  </si>
  <si>
    <t>3,705.04 lb</t>
  </si>
  <si>
    <t>23-Dec-25 8:21 AM EST</t>
  </si>
  <si>
    <t>Palletized rolls of wire mesh</t>
  </si>
  <si>
    <t>23-Dec-25 1:24 PM EST</t>
  </si>
  <si>
    <t>Asturia</t>
  </si>
  <si>
    <t>Odessa</t>
  </si>
  <si>
    <t>30-Dec-25 12:01 AM EST</t>
  </si>
  <si>
    <t>02-Jan-26 11:59 PM EST</t>
  </si>
  <si>
    <t>29-Dec-25 6:01 PM EST</t>
  </si>
  <si>
    <t>30-Dec-25 2:35 PM EST</t>
  </si>
  <si>
    <t>RSG</t>
  </si>
  <si>
    <t>North Wilkesboro</t>
  </si>
  <si>
    <t>293 mi</t>
  </si>
  <si>
    <t>09-Jan-26 12:01 AM EST</t>
  </si>
  <si>
    <t>12-Jan-26 11:59 PM EST</t>
  </si>
  <si>
    <t>1,944 lb</t>
  </si>
  <si>
    <t>30-Dec-25 3:16 PM EST</t>
  </si>
  <si>
    <t>09-Jan-26 4:46 PM EST</t>
  </si>
  <si>
    <t>15-Jan-26 11:59 PM CST</t>
  </si>
  <si>
    <t>1,830 lb</t>
  </si>
  <si>
    <t>12-Jan-26 9:36 AM EST</t>
  </si>
  <si>
    <t>Boxes of Nail Stakes - palletized</t>
  </si>
  <si>
    <t>14-Jan-26 2:27 PM EST</t>
  </si>
  <si>
    <t>WHOLESALE BUILDING PRODUCTS</t>
  </si>
  <si>
    <t>354 mi</t>
  </si>
  <si>
    <t>13-Jan-26 12:01 AM EST</t>
  </si>
  <si>
    <t>13-Jan-26 11:59 PM CST</t>
  </si>
  <si>
    <t>1,044 lb</t>
  </si>
  <si>
    <t>12-Jan-26 10:56 AM EST</t>
  </si>
  <si>
    <t>Metal accessories palletized</t>
  </si>
  <si>
    <t>13-Jan-26 4:33 PM EST</t>
  </si>
  <si>
    <t>16-Jan-26 12:01 AM CST</t>
  </si>
  <si>
    <t>19-Jan-26 11:59 PM CST</t>
  </si>
  <si>
    <t>4,553.64 lb</t>
  </si>
  <si>
    <t>16-Jan-26 8:01 AM EST</t>
  </si>
  <si>
    <t>Flooring</t>
  </si>
  <si>
    <t>16-Jan-26 1:20 PM CST</t>
  </si>
  <si>
    <t>DACO WORLDWIDE - MIAMI</t>
  </si>
  <si>
    <t>DAVIE</t>
  </si>
  <si>
    <t>346 mi</t>
  </si>
  <si>
    <t>19-Jan-26 12:01 AM EST</t>
  </si>
  <si>
    <t>2,149 lb</t>
  </si>
  <si>
    <t>16-Jan-26 11:11 AM EST</t>
  </si>
  <si>
    <t>rolls roof &amp; housewrap - palletized</t>
  </si>
  <si>
    <t>19-Jan-26 3:09 PM EST</t>
  </si>
  <si>
    <t>BLUELINX - FORT WORTH</t>
  </si>
  <si>
    <t>YODERS BLDG SPLY, LMC #211300</t>
  </si>
  <si>
    <t>FAIR PLAY</t>
  </si>
  <si>
    <t>914 mi</t>
  </si>
  <si>
    <t>20-Jan-26 8:00 AM CST</t>
  </si>
  <si>
    <t>21-Jan-26 5:00 PM EST</t>
  </si>
  <si>
    <t>5,100 lb</t>
  </si>
  <si>
    <t>19-Jan-26 9:01 AM EST</t>
  </si>
  <si>
    <t>48 in x 96 in board and 4x4 pallet tape and accessories</t>
  </si>
  <si>
    <t>23-Jan-26 12:01 AM CST</t>
  </si>
  <si>
    <t>23-Jan-26 11:59 PM CST</t>
  </si>
  <si>
    <t>7,659.52 lb</t>
  </si>
  <si>
    <t>21-Jan-26 12:41 PM EST</t>
  </si>
  <si>
    <t>Plastic cap nails - palletized</t>
  </si>
  <si>
    <t>23-Jan-26 12:21 PM CST</t>
  </si>
  <si>
    <t>Contract Lumber</t>
  </si>
  <si>
    <t>Hillsboro</t>
  </si>
  <si>
    <t>340 mi</t>
  </si>
  <si>
    <t>166.7 lb</t>
  </si>
  <si>
    <t>17-Feb-26 2:51 PM EST</t>
  </si>
  <si>
    <t>Sheets of Fiberflex - 10ft joint filler 1 - palletized</t>
  </si>
  <si>
    <t>25-Feb-26 2:27 PM CST</t>
  </si>
  <si>
    <t>Housewrap -  palletized</t>
  </si>
  <si>
    <t>16-Mar-26 2:16 PM EDT</t>
  </si>
  <si>
    <t>20-Mar-26 11:59 PM CDT</t>
  </si>
  <si>
    <t>104.4 lb</t>
  </si>
  <si>
    <t>16-Mar-26 4:06 PM EDT</t>
  </si>
  <si>
    <t>17-Mar-26 8:46 AM EDT</t>
  </si>
  <si>
    <t>Class Code</t>
  </si>
  <si>
    <t>Ship Month</t>
  </si>
  <si>
    <t>Weight Num</t>
  </si>
  <si>
    <t>Distance Num</t>
  </si>
  <si>
    <t>LTL Shipment Trending Analysis</t>
  </si>
  <si>
    <t>Data Period: October 2025 – March 2026</t>
  </si>
  <si>
    <t>Monthly Shipment Summary</t>
  </si>
  <si>
    <t>Month</t>
  </si>
  <si>
    <t>Shipment Count</t>
  </si>
  <si>
    <t>Total Spend</t>
  </si>
  <si>
    <t>Avg Cost/Shipment</t>
  </si>
  <si>
    <t>Total Weight (lbs)</t>
  </si>
  <si>
    <t>Avg Weight/Shipment</t>
  </si>
  <si>
    <t>Total Distance (mi)</t>
  </si>
  <si>
    <t>Avg Distance/Shipment</t>
  </si>
  <si>
    <t>Avg Cost per lb</t>
  </si>
  <si>
    <t>Avg Cost per Mile</t>
  </si>
  <si>
    <t>Total / Avg</t>
  </si>
  <si>
    <t>Month-over-Month Change</t>
  </si>
  <si>
    <t>Shipment Δ</t>
  </si>
  <si>
    <t>Shipment Δ %</t>
  </si>
  <si>
    <t>Spend Δ</t>
  </si>
  <si>
    <t>Spend Δ %</t>
  </si>
  <si>
    <t>Avg Cost Δ %</t>
  </si>
  <si>
    <t>Weight Δ %</t>
  </si>
  <si>
    <t>Carrier Breakdown</t>
  </si>
  <si>
    <t>% of Total</t>
  </si>
  <si>
    <t>Total</t>
  </si>
  <si>
    <t>Top 15 Shipping Lanes (by Volume)</t>
  </si>
  <si>
    <t>Rank</t>
  </si>
  <si>
    <t>Dest State</t>
  </si>
  <si>
    <t>Avg Weight (lbs)</t>
  </si>
  <si>
    <t>Oct-25</t>
  </si>
  <si>
    <t>Nov-25</t>
  </si>
  <si>
    <t>Dec-25</t>
  </si>
  <si>
    <t>Jan-26</t>
  </si>
  <si>
    <t>Feb-26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</si>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</sst>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"/>
    <numFmt numFmtId="165" formatCode="&quot;$&quot;#,##0.00"/>
    <numFmt numFmtId="166" formatCode="0.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rgb="FF999999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21" fillId="34" borderId="10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49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16" fillId="35" borderId="10" xfId="0" applyFont="1" applyFill="1" applyBorder="1" applyAlignment="1">
      <alignment horizontal="center"/>
    </xf>
    <xf numFmtId="3" fontId="16" fillId="35" borderId="10" xfId="0" applyNumberFormat="1" applyFont="1" applyFill="1" applyBorder="1" applyAlignment="1">
      <alignment horizontal="center"/>
    </xf>
    <xf numFmtId="164" fontId="16" fillId="35" borderId="10" xfId="0" applyNumberFormat="1" applyFont="1" applyFill="1" applyBorder="1" applyAlignment="1">
      <alignment horizontal="center"/>
    </xf>
    <xf numFmtId="165" fontId="16" fillId="35" borderId="10" xfId="0" applyNumberFormat="1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6" fontId="16" fillId="35" borderId="10" xfId="0" applyNumberFormat="1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36" borderId="10" xfId="0" applyNumberForma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3" fontId="0" fillId="36" borderId="10" xfId="0" applyNumberFormat="1" applyFill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165" fontId="0" fillId="36" borderId="10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</dxf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  <dxf>
      <font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Shipment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'LTL Trending Analysis'!$B$5</c:f>
              <c:strCache>
                <c:ptCount val="1"/>
                <c:pt idx="0">
                  <c:v>Shipment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'LTL Trending Analysis'!$A$6:$A$11</c:f>
              <c:strCache>
                <c:ptCount val="6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</c:strCache>
            </c:strRef>
          </c:cat>
          <c:val>
            <c:numRef>
              <c:f>'LTL Trending Analysis'!$B$6:$B$11</c:f>
              <c:numCache>
                <c:formatCode>#,##0</c:formatCode>
                <c:ptCount val="6"/>
                <c:pt idx="0">
                  <c:v>45</c:v>
                </c:pt>
                <c:pt idx="1">
                  <c:v>35</c:v>
                </c:pt>
                <c:pt idx="2">
                  <c:v>30</c:v>
                </c:pt>
                <c:pt idx="3">
                  <c:v>39</c:v>
                </c:pt>
                <c:pt idx="4">
                  <c:v>37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A-470D-A4F4-AB1E0C7D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592592"/>
        <c:axId val="669594032"/>
      </c:barChart>
      <c:catAx>
        <c:axId val="66959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94032"/>
        <c:crosses val="autoZero"/>
        <c:auto val="1"/>
        <c:lblAlgn val="ctr"/>
        <c:lblOffset val="100"/>
        <c:noMultiLvlLbl val="0"/>
      </c:catAx>
      <c:valAx>
        <c:axId val="6695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9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Total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'LTL Trending Analysis'!$M$5</c:f>
              <c:strCache>
                <c:ptCount val="1"/>
                <c:pt idx="0">
                  <c:v>Total 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'LTL Trending Analysis'!$L$6:$L$11</c:f>
              <c:numCache>
                <c:formatCode>d\-mmm</c:formatCode>
                <c:ptCount val="6"/>
                <c:pt idx="0">
                  <c:v>46320</c:v>
                </c:pt>
                <c:pt idx="1">
                  <c:v>46351</c:v>
                </c:pt>
                <c:pt idx="2">
                  <c:v>46381</c:v>
                </c:pt>
                <c:pt idx="3">
                  <c:v>46048</c:v>
                </c:pt>
                <c:pt idx="4">
                  <c:v>46079</c:v>
                </c:pt>
                <c:pt idx="5">
                  <c:v>46107</c:v>
                </c:pt>
              </c:numCache>
            </c:numRef>
          </c:cat>
          <c:val>
            <c:numRef>
              <c:f>'LTL Trending Analysis'!$M$6:$M$11</c:f>
              <c:numCache>
                <c:formatCode>"$"#,##0</c:formatCode>
                <c:ptCount val="6"/>
                <c:pt idx="0">
                  <c:v>11138.719999999998</c:v>
                </c:pt>
                <c:pt idx="1">
                  <c:v>13021.51</c:v>
                </c:pt>
                <c:pt idx="2">
                  <c:v>6542.96</c:v>
                </c:pt>
                <c:pt idx="3">
                  <c:v>13432.450000000003</c:v>
                </c:pt>
                <c:pt idx="4">
                  <c:v>12531.78</c:v>
                </c:pt>
                <c:pt idx="5">
                  <c:v>17742.689999999999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4-4B1A-BA45-09F458C8D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013728"/>
        <c:axId val="25020160"/>
      </c:lineChart>
      <c:dateAx>
        <c:axId val="4680137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0160"/>
        <c:crosses val="autoZero"/>
        <c:auto val="1"/>
        <c:lblOffset val="100"/>
        <c:baseTimeUnit val="months"/>
      </c:dateAx>
      <c:valAx>
        <c:axId val="250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1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Cost per Shipment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'LTL Trending Analysis'!$R$5</c:f>
              <c:strCache>
                <c:ptCount val="1"/>
                <c:pt idx="0">
                  <c:v>Avg Cost/Shipment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'LTL Trending Analysis'!$Q$6:$Q$11</c:f>
              <c:numCache>
                <c:formatCode>d\-mmm</c:formatCode>
                <c:ptCount val="6"/>
                <c:pt idx="0">
                  <c:v>46320</c:v>
                </c:pt>
                <c:pt idx="1">
                  <c:v>46351</c:v>
                </c:pt>
                <c:pt idx="2">
                  <c:v>46381</c:v>
                </c:pt>
                <c:pt idx="3">
                  <c:v>46048</c:v>
                </c:pt>
                <c:pt idx="4">
                  <c:v>46079</c:v>
                </c:pt>
                <c:pt idx="5">
                  <c:v>46107</c:v>
                </c:pt>
              </c:numCache>
            </c:numRef>
          </c:cat>
          <c:val>
            <c:numRef>
              <c:f>'LTL Trending Analysis'!$R$6:$R$11</c:f>
              <c:numCache>
                <c:formatCode>"$"#,##0.00</c:formatCode>
                <c:ptCount val="6"/>
                <c:pt idx="0">
                  <c:v>247.52711111111105</c:v>
                </c:pt>
                <c:pt idx="1">
                  <c:v>372.04314285714287</c:v>
                </c:pt>
                <c:pt idx="2">
                  <c:v>218.09866666666667</c:v>
                </c:pt>
                <c:pt idx="3">
                  <c:v>344.42179487179493</c:v>
                </c:pt>
                <c:pt idx="4">
                  <c:v>338.69675675675677</c:v>
                </c:pt>
                <c:pt idx="5">
                  <c:v>403.2429545454545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4-49F0-8E72-DE4111251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000048"/>
        <c:axId val="328003408"/>
      </c:lineChart>
      <c:dateAx>
        <c:axId val="32800004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03408"/>
        <c:crosses val="autoZero"/>
        <c:auto val="1"/>
        <c:lblOffset val="100"/>
        <c:baseTimeUnit val="months"/>
      </c:dateAx>
      <c:valAx>
        <c:axId val="3280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0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13</xdr:row>
      <xdr:rowOff>200025</xdr:rowOff>
    </xdr:from>
    <xdr:to>
      <xdr:col>10</xdr:col>
      <xdr:colOff>152400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E5FEB-84F0-C1C0-F62C-FA00154D8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409575</xdr:colOff>
      <xdr:row>27</xdr:row>
      <xdr:rowOff>200025</xdr:rowOff>
    </xdr:from>
    <xdr:to>
      <xdr:col>10</xdr:col>
      <xdr:colOff>152400</xdr:colOff>
      <xdr:row>42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5F0A42-C469-4688-BB5F-8CBB4B4C9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409575</xdr:colOff>
      <xdr:row>42</xdr:row>
      <xdr:rowOff>57150</xdr:rowOff>
    </xdr:from>
    <xdr:to>
      <xdr:col>10</xdr:col>
      <xdr:colOff>152400</xdr:colOff>
      <xdr:row>56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ACA692-461D-1BBF-F1D6-56833499D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0E2D89-B7CB-49FF-A8A9-A4A12A2E67BF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FF8E-2042-4369-9651-6FCE953CE162}">
  <dimension ref="A1:Y231"/>
  <sheetViews>
    <sheetView tabSelected="1" topLeftCell="G1" workbookViewId="0">
      <selection sqref="A1:XFD1048576"/>
    </sheetView>
  </sheetViews>
  <sheetFormatPr defaultRowHeight="15" outlineLevelCol="2" x14ac:dyDescent="0.25"/>
  <cols>
    <col min="1" max="1" width="10.85546875" style="2" bestFit="1" customWidth="1"/>
    <col min="2" max="2" width="34.28515625" style="2" bestFit="1" customWidth="1"/>
    <col min="3" max="3" width="18.5703125" style="2" bestFit="1" customWidth="1"/>
    <col min="4" max="4" width="11.140625" style="2" bestFit="1" customWidth="1"/>
    <col min="5" max="5" width="40.28515625" style="2" bestFit="1" customWidth="1"/>
    <col min="6" max="6" width="16.5703125" style="2" bestFit="1" customWidth="1"/>
    <col min="7" max="7" width="16" style="2" bestFit="1" customWidth="1"/>
    <col min="8" max="8" width="8.7109375" style="2" bestFit="1" customWidth="1"/>
    <col min="9" max="9" width="22.42578125" style="2" bestFit="1" customWidth="1"/>
    <col min="10" max="10" width="22.7109375" style="2" bestFit="1" customWidth="1"/>
    <col min="11" max="11" width="10.42578125" style="2" bestFit="1" customWidth="1"/>
    <col min="12" max="12" width="11.28515625" style="2" bestFit="1" customWidth="1"/>
    <col min="13" max="13" width="5.85546875" style="2" bestFit="1" customWidth="1"/>
    <col min="14" max="14" width="19.42578125" style="2" bestFit="1" customWidth="1"/>
    <col min="15" max="15" width="5.42578125" style="2" bestFit="1" customWidth="1"/>
    <col min="16" max="16" width="9.85546875" style="2" bestFit="1" customWidth="1"/>
    <col min="17" max="17" width="17.7109375" style="2" bestFit="1" customWidth="1"/>
    <col min="18" max="18" width="22.140625" style="2" bestFit="1" customWidth="1"/>
    <col min="19" max="19" width="50.85546875" style="2" bestFit="1" customWidth="1"/>
    <col min="20" max="20" width="10.7109375" style="2" bestFit="1" customWidth="1"/>
    <col min="21" max="21" width="8.42578125" style="2" bestFit="1" customWidth="1"/>
    <col min="22" max="22" width="23.5703125" style="2" bestFit="1" customWidth="1"/>
    <col min="23" max="23" width="10.85546875" style="2" bestFit="1" customWidth="1" outlineLevel="2"/>
    <col min="24" max="24" width="11.7109375" style="2" bestFit="1" customWidth="1" outlineLevel="2"/>
    <col min="25" max="25" width="13.5703125" style="2" bestFit="1" customWidth="1" outlineLevel="2"/>
    <col min="26" max="16384" width="9.140625" style="2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1576</v>
      </c>
      <c r="U1" s="2" t="s">
        <v>19</v>
      </c>
      <c r="V1" s="2" t="s">
        <v>20</v>
      </c>
      <c r="W1" s="2" t="s">
        <v>1577</v>
      </c>
      <c r="X1" s="2" t="s">
        <v>1578</v>
      </c>
      <c r="Y1" s="2" t="s">
        <v>1579</v>
      </c>
    </row>
    <row r="2" spans="1:25" x14ac:dyDescent="0.25">
      <c r="A2" s="2" t="s">
        <v>21</v>
      </c>
      <c r="B2" s="2" t="s">
        <v>72</v>
      </c>
      <c r="C2" s="2" t="s">
        <v>1321</v>
      </c>
      <c r="D2" s="2" t="s">
        <v>65</v>
      </c>
      <c r="E2" s="2" t="s">
        <v>1322</v>
      </c>
      <c r="F2" s="2" t="s">
        <v>424</v>
      </c>
      <c r="G2" s="2" t="s">
        <v>65</v>
      </c>
      <c r="H2" s="2" t="s">
        <v>1211</v>
      </c>
      <c r="I2" s="2" t="s">
        <v>1323</v>
      </c>
      <c r="J2" s="2" t="s">
        <v>1324</v>
      </c>
      <c r="K2" s="2" t="s">
        <v>31</v>
      </c>
      <c r="L2" s="2" t="s">
        <v>538</v>
      </c>
      <c r="M2" s="2" t="s">
        <v>33</v>
      </c>
      <c r="N2" s="2" t="s">
        <v>1318</v>
      </c>
      <c r="O2" s="2" t="s">
        <v>1319</v>
      </c>
      <c r="P2" s="3">
        <v>135.91</v>
      </c>
      <c r="Q2" s="2">
        <v>446799131</v>
      </c>
      <c r="R2" s="2" t="s">
        <v>1325</v>
      </c>
      <c r="S2" s="2" t="s">
        <v>1326</v>
      </c>
      <c r="T2" s="2">
        <v>65</v>
      </c>
      <c r="U2" s="2" t="s">
        <v>38</v>
      </c>
      <c r="V2" s="2" t="s">
        <v>1327</v>
      </c>
      <c r="W2" s="5">
        <f>IF(I2="","",DATE(2000+MID(I2,8,2),MATCH(MID(I2,4,3),{"Jan","Feb","Mar","Apr","May","Jun","Jul","Aug","Sep","Oct","Nov","Dec"},0),1))</f>
        <v>45931</v>
      </c>
      <c r="X2" s="2">
        <f>IF(L2="","",SUBSTITUTE(SUBSTITUTE(L2,",","")," lb",""))*1</f>
        <v>702</v>
      </c>
      <c r="Y2" s="2">
        <f>IF(H2="","",SUBSTITUTE(SUBSTITUTE(H2,",","")," mi",""))*1</f>
        <v>425</v>
      </c>
    </row>
    <row r="3" spans="1:25" x14ac:dyDescent="0.25">
      <c r="A3" s="2" t="s">
        <v>21</v>
      </c>
      <c r="B3" s="2" t="s">
        <v>809</v>
      </c>
      <c r="C3" s="2" t="s">
        <v>810</v>
      </c>
      <c r="D3" s="2" t="s">
        <v>74</v>
      </c>
      <c r="E3" s="2" t="s">
        <v>811</v>
      </c>
      <c r="F3" s="2" t="s">
        <v>812</v>
      </c>
      <c r="G3" s="2" t="s">
        <v>65</v>
      </c>
      <c r="H3" s="2" t="s">
        <v>813</v>
      </c>
      <c r="I3" s="2" t="s">
        <v>814</v>
      </c>
      <c r="J3" s="2" t="s">
        <v>796</v>
      </c>
      <c r="K3" s="2" t="s">
        <v>31</v>
      </c>
      <c r="L3" s="2" t="s">
        <v>815</v>
      </c>
      <c r="M3" s="2" t="s">
        <v>33</v>
      </c>
      <c r="N3" s="2" t="s">
        <v>34</v>
      </c>
      <c r="O3" s="2" t="s">
        <v>35</v>
      </c>
      <c r="P3" s="3">
        <v>168.92</v>
      </c>
      <c r="Q3" s="2">
        <v>1560724452</v>
      </c>
      <c r="R3" s="2" t="s">
        <v>816</v>
      </c>
      <c r="S3" s="2" t="s">
        <v>817</v>
      </c>
      <c r="T3" s="2">
        <v>65</v>
      </c>
      <c r="U3" s="2" t="s">
        <v>38</v>
      </c>
      <c r="V3" s="2" t="s">
        <v>818</v>
      </c>
      <c r="W3" s="5">
        <f>IF(I3="","",DATE(2000+MID(I3,8,2),MATCH(MID(I3,4,3),{"Jan","Feb","Mar","Apr","May","Jun","Jul","Aug","Sep","Oct","Nov","Dec"},0),1))</f>
        <v>46023</v>
      </c>
      <c r="X3" s="2">
        <f t="shared" ref="X3:X66" si="0">IF(L3="","",SUBSTITUTE(SUBSTITUTE(L3,",","")," lb",""))*1</f>
        <v>10</v>
      </c>
      <c r="Y3" s="2">
        <f t="shared" ref="Y3:Y66" si="1">IF(H3="","",SUBSTITUTE(SUBSTITUTE(H3,",","")," mi",""))*1</f>
        <v>1155</v>
      </c>
    </row>
    <row r="4" spans="1:25" x14ac:dyDescent="0.25">
      <c r="A4" s="2" t="s">
        <v>21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24</v>
      </c>
      <c r="H4" s="2" t="s">
        <v>45</v>
      </c>
      <c r="I4" s="2" t="s">
        <v>777</v>
      </c>
      <c r="J4" s="2" t="s">
        <v>782</v>
      </c>
      <c r="K4" s="2" t="s">
        <v>31</v>
      </c>
      <c r="L4" s="2" t="s">
        <v>783</v>
      </c>
      <c r="M4" s="2" t="s">
        <v>33</v>
      </c>
      <c r="N4" s="2" t="s">
        <v>34</v>
      </c>
      <c r="O4" s="2" t="s">
        <v>35</v>
      </c>
      <c r="P4" s="3">
        <v>603.78</v>
      </c>
      <c r="R4" s="2" t="s">
        <v>784</v>
      </c>
      <c r="S4" s="2" t="s">
        <v>785</v>
      </c>
      <c r="T4" s="2">
        <v>65</v>
      </c>
      <c r="U4" s="2" t="s">
        <v>259</v>
      </c>
      <c r="W4" s="5">
        <f>IF(I4="","",DATE(2000+MID(I4,8,2),MATCH(MID(I4,4,3),{"Jan","Feb","Mar","Apr","May","Jun","Jul","Aug","Sep","Oct","Nov","Dec"},0),1))</f>
        <v>46023</v>
      </c>
      <c r="X4" s="2">
        <f t="shared" si="0"/>
        <v>7403</v>
      </c>
      <c r="Y4" s="2">
        <f t="shared" si="1"/>
        <v>420</v>
      </c>
    </row>
    <row r="5" spans="1:25" x14ac:dyDescent="0.25">
      <c r="A5" s="2" t="s">
        <v>21</v>
      </c>
      <c r="B5" s="2" t="s">
        <v>275</v>
      </c>
      <c r="C5" s="2" t="s">
        <v>276</v>
      </c>
      <c r="D5" s="2" t="s">
        <v>98</v>
      </c>
      <c r="E5" s="2" t="s">
        <v>217</v>
      </c>
      <c r="F5" s="2" t="s">
        <v>218</v>
      </c>
      <c r="G5" s="2" t="s">
        <v>219</v>
      </c>
      <c r="H5" s="2" t="s">
        <v>448</v>
      </c>
      <c r="I5" s="2" t="s">
        <v>1133</v>
      </c>
      <c r="J5" s="2" t="s">
        <v>1134</v>
      </c>
      <c r="K5" s="2" t="s">
        <v>31</v>
      </c>
      <c r="L5" s="2" t="s">
        <v>1135</v>
      </c>
      <c r="M5" s="2" t="s">
        <v>33</v>
      </c>
      <c r="N5" s="2" t="s">
        <v>34</v>
      </c>
      <c r="O5" s="2" t="s">
        <v>35</v>
      </c>
      <c r="P5" s="3">
        <v>172.23</v>
      </c>
      <c r="Q5" s="2">
        <v>373672404</v>
      </c>
      <c r="R5" s="2" t="s">
        <v>1136</v>
      </c>
      <c r="S5" s="2" t="s">
        <v>1137</v>
      </c>
      <c r="T5" s="2">
        <v>65</v>
      </c>
      <c r="U5" s="2" t="s">
        <v>119</v>
      </c>
      <c r="V5" s="2" t="s">
        <v>1138</v>
      </c>
      <c r="W5" s="5">
        <f>IF(I5="","",DATE(2000+MID(I5,8,2),MATCH(MID(I5,4,3),{"Jan","Feb","Mar","Apr","May","Jun","Jul","Aug","Sep","Oct","Nov","Dec"},0),1))</f>
        <v>46082</v>
      </c>
      <c r="X5" s="2">
        <f t="shared" si="0"/>
        <v>51</v>
      </c>
      <c r="Y5" s="2">
        <f t="shared" si="1"/>
        <v>1068</v>
      </c>
    </row>
    <row r="6" spans="1:25" x14ac:dyDescent="0.25">
      <c r="A6" s="2" t="s">
        <v>21</v>
      </c>
      <c r="B6" s="2" t="s">
        <v>762</v>
      </c>
      <c r="C6" s="2" t="s">
        <v>763</v>
      </c>
      <c r="D6" s="2" t="s">
        <v>98</v>
      </c>
      <c r="E6" s="2" t="s">
        <v>764</v>
      </c>
      <c r="F6" s="2" t="s">
        <v>765</v>
      </c>
      <c r="G6" s="2" t="s">
        <v>111</v>
      </c>
      <c r="H6" s="2" t="s">
        <v>766</v>
      </c>
      <c r="I6" s="2" t="s">
        <v>980</v>
      </c>
      <c r="J6" s="2" t="s">
        <v>981</v>
      </c>
      <c r="K6" s="2" t="s">
        <v>31</v>
      </c>
      <c r="L6" s="2" t="s">
        <v>982</v>
      </c>
      <c r="M6" s="2" t="s">
        <v>33</v>
      </c>
      <c r="N6" s="2" t="s">
        <v>34</v>
      </c>
      <c r="O6" s="2" t="s">
        <v>35</v>
      </c>
      <c r="P6" s="3">
        <v>326.67</v>
      </c>
      <c r="Q6" s="2">
        <v>391422143</v>
      </c>
      <c r="R6" s="2" t="s">
        <v>983</v>
      </c>
      <c r="S6" s="2" t="s">
        <v>984</v>
      </c>
      <c r="T6" s="2">
        <v>65</v>
      </c>
      <c r="U6" s="2" t="s">
        <v>119</v>
      </c>
      <c r="V6" s="2" t="s">
        <v>985</v>
      </c>
      <c r="W6" s="5">
        <f>IF(I6="","",DATE(2000+MID(I6,8,2),MATCH(MID(I6,4,3),{"Jan","Feb","Mar","Apr","May","Jun","Jul","Aug","Sep","Oct","Nov","Dec"},0),1))</f>
        <v>46054</v>
      </c>
      <c r="X6" s="2">
        <f t="shared" si="0"/>
        <v>1709.06</v>
      </c>
      <c r="Y6" s="2">
        <f t="shared" si="1"/>
        <v>441</v>
      </c>
    </row>
    <row r="7" spans="1:25" x14ac:dyDescent="0.25">
      <c r="A7" s="2" t="s">
        <v>21</v>
      </c>
      <c r="B7" s="2" t="s">
        <v>43</v>
      </c>
      <c r="C7" s="2" t="s">
        <v>44</v>
      </c>
      <c r="D7" s="2" t="s">
        <v>24</v>
      </c>
      <c r="E7" s="2" t="s">
        <v>261</v>
      </c>
      <c r="F7" s="2" t="s">
        <v>262</v>
      </c>
      <c r="G7" s="2" t="s">
        <v>263</v>
      </c>
      <c r="H7" s="2" t="s">
        <v>735</v>
      </c>
      <c r="I7" s="2" t="s">
        <v>736</v>
      </c>
      <c r="J7" s="2" t="s">
        <v>718</v>
      </c>
      <c r="K7" s="2" t="s">
        <v>31</v>
      </c>
      <c r="L7" s="2" t="s">
        <v>737</v>
      </c>
      <c r="M7" s="2" t="s">
        <v>33</v>
      </c>
      <c r="N7" s="2" t="s">
        <v>34</v>
      </c>
      <c r="O7" s="2" t="s">
        <v>35</v>
      </c>
      <c r="P7" s="3">
        <v>203.68</v>
      </c>
      <c r="Q7" s="2">
        <v>1080257086</v>
      </c>
      <c r="R7" s="2" t="s">
        <v>738</v>
      </c>
      <c r="S7" s="2" t="s">
        <v>739</v>
      </c>
      <c r="T7" s="2">
        <v>65</v>
      </c>
      <c r="U7" s="2" t="s">
        <v>38</v>
      </c>
      <c r="V7" s="2" t="s">
        <v>740</v>
      </c>
      <c r="W7" s="5">
        <f>IF(I7="","",DATE(2000+MID(I7,8,2),MATCH(MID(I7,4,3),{"Jan","Feb","Mar","Apr","May","Jun","Jul","Aug","Sep","Oct","Nov","Dec"},0),1))</f>
        <v>46023</v>
      </c>
      <c r="X7" s="2">
        <f t="shared" si="0"/>
        <v>493.27</v>
      </c>
      <c r="Y7" s="2">
        <f t="shared" si="1"/>
        <v>634</v>
      </c>
    </row>
    <row r="8" spans="1:25" x14ac:dyDescent="0.25">
      <c r="A8" s="2" t="s">
        <v>21</v>
      </c>
      <c r="B8" s="2" t="s">
        <v>873</v>
      </c>
      <c r="C8" s="2" t="s">
        <v>874</v>
      </c>
      <c r="D8" s="2" t="s">
        <v>65</v>
      </c>
      <c r="E8" s="2" t="s">
        <v>875</v>
      </c>
      <c r="F8" s="2" t="s">
        <v>876</v>
      </c>
      <c r="G8" s="2" t="s">
        <v>65</v>
      </c>
      <c r="H8" s="2" t="s">
        <v>877</v>
      </c>
      <c r="I8" s="2" t="s">
        <v>693</v>
      </c>
      <c r="J8" s="2" t="s">
        <v>878</v>
      </c>
      <c r="K8" s="2" t="s">
        <v>31</v>
      </c>
      <c r="L8" s="2" t="s">
        <v>879</v>
      </c>
      <c r="M8" s="2" t="s">
        <v>33</v>
      </c>
      <c r="N8" s="2" t="s">
        <v>34</v>
      </c>
      <c r="O8" s="2" t="s">
        <v>35</v>
      </c>
      <c r="P8" s="3">
        <v>416.98</v>
      </c>
      <c r="R8" s="2" t="s">
        <v>880</v>
      </c>
      <c r="S8" s="2" t="s">
        <v>881</v>
      </c>
      <c r="T8" s="2">
        <v>65</v>
      </c>
      <c r="U8" s="2" t="s">
        <v>38</v>
      </c>
      <c r="W8" s="5">
        <f>IF(I8="","",DATE(2000+MID(I8,8,2),MATCH(MID(I8,4,3),{"Jan","Feb","Mar","Apr","May","Jun","Jul","Aug","Sep","Oct","Nov","Dec"},0),1))</f>
        <v>46054</v>
      </c>
      <c r="X8" s="2">
        <f t="shared" si="0"/>
        <v>2801.23</v>
      </c>
      <c r="Y8" s="2">
        <f t="shared" si="1"/>
        <v>364</v>
      </c>
    </row>
    <row r="9" spans="1:25" x14ac:dyDescent="0.25">
      <c r="A9" s="2" t="s">
        <v>21</v>
      </c>
      <c r="B9" s="2" t="s">
        <v>275</v>
      </c>
      <c r="C9" s="2" t="s">
        <v>276</v>
      </c>
      <c r="D9" s="2" t="s">
        <v>98</v>
      </c>
      <c r="E9" s="2" t="s">
        <v>860</v>
      </c>
      <c r="F9" s="2" t="s">
        <v>861</v>
      </c>
      <c r="G9" s="2" t="s">
        <v>296</v>
      </c>
      <c r="H9" s="2" t="s">
        <v>862</v>
      </c>
      <c r="I9" s="2" t="s">
        <v>863</v>
      </c>
      <c r="J9" s="2" t="s">
        <v>864</v>
      </c>
      <c r="K9" s="2" t="s">
        <v>31</v>
      </c>
      <c r="L9" s="2" t="s">
        <v>865</v>
      </c>
      <c r="M9" s="2" t="s">
        <v>33</v>
      </c>
      <c r="N9" s="2" t="s">
        <v>34</v>
      </c>
      <c r="O9" s="2" t="s">
        <v>35</v>
      </c>
      <c r="P9" s="3">
        <v>206</v>
      </c>
      <c r="Q9" s="2">
        <v>373565547</v>
      </c>
      <c r="R9" s="2" t="s">
        <v>866</v>
      </c>
      <c r="S9" s="2" t="s">
        <v>867</v>
      </c>
      <c r="T9" s="2">
        <v>65</v>
      </c>
      <c r="U9" s="2" t="s">
        <v>38</v>
      </c>
      <c r="V9" s="2" t="s">
        <v>868</v>
      </c>
      <c r="W9" s="5">
        <f>IF(I9="","",DATE(2000+MID(I9,8,2),MATCH(MID(I9,4,3),{"Jan","Feb","Mar","Apr","May","Jun","Jul","Aug","Sep","Oct","Nov","Dec"},0),1))</f>
        <v>46054</v>
      </c>
      <c r="X9" s="2">
        <f t="shared" si="0"/>
        <v>299</v>
      </c>
      <c r="Y9" s="2">
        <f t="shared" si="1"/>
        <v>492</v>
      </c>
    </row>
    <row r="10" spans="1:25" x14ac:dyDescent="0.25">
      <c r="A10" s="2" t="s">
        <v>21</v>
      </c>
      <c r="B10" s="2" t="s">
        <v>275</v>
      </c>
      <c r="C10" s="2" t="s">
        <v>276</v>
      </c>
      <c r="D10" s="2" t="s">
        <v>98</v>
      </c>
      <c r="E10" s="2" t="s">
        <v>395</v>
      </c>
      <c r="F10" s="2" t="s">
        <v>396</v>
      </c>
      <c r="G10" s="2" t="s">
        <v>397</v>
      </c>
      <c r="H10" s="2" t="s">
        <v>608</v>
      </c>
      <c r="I10" s="2" t="s">
        <v>863</v>
      </c>
      <c r="J10" s="2" t="s">
        <v>869</v>
      </c>
      <c r="K10" s="2" t="s">
        <v>31</v>
      </c>
      <c r="L10" s="2" t="s">
        <v>870</v>
      </c>
      <c r="M10" s="2" t="s">
        <v>33</v>
      </c>
      <c r="N10" s="2" t="s">
        <v>34</v>
      </c>
      <c r="O10" s="2" t="s">
        <v>35</v>
      </c>
      <c r="P10" s="3">
        <v>169.87</v>
      </c>
      <c r="Q10" s="2">
        <v>373629515</v>
      </c>
      <c r="R10" s="2" t="s">
        <v>871</v>
      </c>
      <c r="S10" s="2" t="s">
        <v>872</v>
      </c>
      <c r="T10" s="2">
        <v>65</v>
      </c>
      <c r="U10" s="2" t="s">
        <v>38</v>
      </c>
      <c r="V10" s="2" t="s">
        <v>868</v>
      </c>
      <c r="W10" s="5">
        <f>IF(I10="","",DATE(2000+MID(I10,8,2),MATCH(MID(I10,4,3),{"Jan","Feb","Mar","Apr","May","Jun","Jul","Aug","Sep","Oct","Nov","Dec"},0),1))</f>
        <v>46054</v>
      </c>
      <c r="X10" s="2">
        <f t="shared" si="0"/>
        <v>30</v>
      </c>
      <c r="Y10" s="2">
        <f t="shared" si="1"/>
        <v>1181</v>
      </c>
    </row>
    <row r="11" spans="1:25" x14ac:dyDescent="0.25">
      <c r="A11" s="2" t="s">
        <v>21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103</v>
      </c>
      <c r="J11" s="2" t="s">
        <v>104</v>
      </c>
      <c r="K11" s="2" t="s">
        <v>31</v>
      </c>
      <c r="L11" s="2" t="s">
        <v>105</v>
      </c>
      <c r="M11" s="2" t="s">
        <v>33</v>
      </c>
      <c r="N11" s="2" t="s">
        <v>34</v>
      </c>
      <c r="O11" s="2" t="s">
        <v>35</v>
      </c>
      <c r="P11" s="3">
        <v>171</v>
      </c>
      <c r="Q11" s="2">
        <v>373559269</v>
      </c>
      <c r="R11" s="2" t="s">
        <v>106</v>
      </c>
      <c r="S11" s="2" t="s">
        <v>107</v>
      </c>
      <c r="T11" s="2">
        <v>65</v>
      </c>
      <c r="U11" s="2" t="s">
        <v>38</v>
      </c>
      <c r="V11" s="2" t="s">
        <v>108</v>
      </c>
      <c r="W11" s="5">
        <f>IF(I11="","",DATE(2000+MID(I11,8,2),MATCH(MID(I11,4,3),{"Jan","Feb","Mar","Apr","May","Jun","Jul","Aug","Sep","Oct","Nov","Dec"},0),1))</f>
        <v>45931</v>
      </c>
      <c r="X11" s="2">
        <f t="shared" si="0"/>
        <v>50</v>
      </c>
      <c r="Y11" s="2">
        <f t="shared" si="1"/>
        <v>587</v>
      </c>
    </row>
    <row r="12" spans="1:25" x14ac:dyDescent="0.25">
      <c r="A12" s="2" t="s">
        <v>21</v>
      </c>
      <c r="B12" s="2" t="s">
        <v>96</v>
      </c>
      <c r="C12" s="2" t="s">
        <v>97</v>
      </c>
      <c r="D12" s="2" t="s">
        <v>98</v>
      </c>
      <c r="E12" s="2" t="s">
        <v>158</v>
      </c>
      <c r="F12" s="2" t="s">
        <v>151</v>
      </c>
      <c r="G12" s="2" t="s">
        <v>152</v>
      </c>
      <c r="H12" s="2" t="s">
        <v>931</v>
      </c>
      <c r="I12" s="2" t="s">
        <v>932</v>
      </c>
      <c r="J12" s="2" t="s">
        <v>933</v>
      </c>
      <c r="K12" s="2" t="s">
        <v>31</v>
      </c>
      <c r="L12" s="2" t="s">
        <v>934</v>
      </c>
      <c r="M12" s="2" t="s">
        <v>33</v>
      </c>
      <c r="N12" s="2" t="s">
        <v>34</v>
      </c>
      <c r="O12" s="2" t="s">
        <v>35</v>
      </c>
      <c r="P12" s="3">
        <v>189.97</v>
      </c>
      <c r="Q12" s="2">
        <v>373750553</v>
      </c>
      <c r="R12" s="2" t="s">
        <v>935</v>
      </c>
      <c r="S12" s="2" t="s">
        <v>936</v>
      </c>
      <c r="T12" s="2">
        <v>65</v>
      </c>
      <c r="U12" s="2" t="s">
        <v>38</v>
      </c>
      <c r="V12" s="2" t="s">
        <v>937</v>
      </c>
      <c r="W12" s="5">
        <f>IF(I12="","",DATE(2000+MID(I12,8,2),MATCH(MID(I12,4,3),{"Jan","Feb","Mar","Apr","May","Jun","Jul","Aug","Sep","Oct","Nov","Dec"},0),1))</f>
        <v>46054</v>
      </c>
      <c r="X12" s="2">
        <f t="shared" si="0"/>
        <v>22</v>
      </c>
      <c r="Y12" s="2">
        <f t="shared" si="1"/>
        <v>744</v>
      </c>
    </row>
    <row r="13" spans="1:25" x14ac:dyDescent="0.25">
      <c r="A13" s="2" t="s">
        <v>21</v>
      </c>
      <c r="B13" s="2" t="s">
        <v>275</v>
      </c>
      <c r="C13" s="2" t="s">
        <v>276</v>
      </c>
      <c r="D13" s="2" t="s">
        <v>98</v>
      </c>
      <c r="E13" s="2" t="s">
        <v>550</v>
      </c>
      <c r="F13" s="2" t="s">
        <v>551</v>
      </c>
      <c r="G13" s="2" t="s">
        <v>27</v>
      </c>
      <c r="H13" s="2" t="s">
        <v>1243</v>
      </c>
      <c r="I13" s="2" t="s">
        <v>1244</v>
      </c>
      <c r="J13" s="2" t="s">
        <v>1245</v>
      </c>
      <c r="K13" s="2" t="s">
        <v>31</v>
      </c>
      <c r="L13" s="2" t="s">
        <v>1246</v>
      </c>
      <c r="M13" s="2" t="s">
        <v>33</v>
      </c>
      <c r="N13" s="2" t="s">
        <v>34</v>
      </c>
      <c r="O13" s="2" t="s">
        <v>35</v>
      </c>
      <c r="P13" s="3">
        <v>288.68</v>
      </c>
      <c r="R13" s="2" t="s">
        <v>1247</v>
      </c>
      <c r="S13" s="2" t="s">
        <v>1248</v>
      </c>
      <c r="T13" s="2">
        <v>65</v>
      </c>
      <c r="U13" s="2" t="s">
        <v>38</v>
      </c>
      <c r="W13" s="5">
        <f>IF(I13="","",DATE(2000+MID(I13,8,2),MATCH(MID(I13,4,3),{"Jan","Feb","Mar","Apr","May","Jun","Jul","Aug","Sep","Oct","Nov","Dec"},0),1))</f>
        <v>46082</v>
      </c>
      <c r="X13" s="2">
        <f t="shared" si="0"/>
        <v>884</v>
      </c>
      <c r="Y13" s="2">
        <f t="shared" si="1"/>
        <v>536</v>
      </c>
    </row>
    <row r="14" spans="1:25" x14ac:dyDescent="0.25">
      <c r="A14" s="2" t="s">
        <v>21</v>
      </c>
      <c r="B14" s="2" t="s">
        <v>723</v>
      </c>
      <c r="C14" s="2" t="s">
        <v>724</v>
      </c>
      <c r="D14" s="2" t="s">
        <v>725</v>
      </c>
      <c r="E14" s="2" t="s">
        <v>726</v>
      </c>
      <c r="F14" s="2" t="s">
        <v>727</v>
      </c>
      <c r="G14" s="2" t="s">
        <v>234</v>
      </c>
      <c r="H14" s="2" t="s">
        <v>728</v>
      </c>
      <c r="I14" s="2" t="s">
        <v>729</v>
      </c>
      <c r="J14" s="2" t="s">
        <v>730</v>
      </c>
      <c r="K14" s="2" t="s">
        <v>31</v>
      </c>
      <c r="L14" s="2" t="s">
        <v>731</v>
      </c>
      <c r="M14" s="2" t="s">
        <v>33</v>
      </c>
      <c r="N14" s="2" t="s">
        <v>34</v>
      </c>
      <c r="O14" s="2" t="s">
        <v>35</v>
      </c>
      <c r="P14" s="3">
        <v>426.67</v>
      </c>
      <c r="Q14" s="2">
        <v>2340631520</v>
      </c>
      <c r="R14" s="2" t="s">
        <v>732</v>
      </c>
      <c r="S14" s="2" t="s">
        <v>733</v>
      </c>
      <c r="T14" s="2">
        <v>65</v>
      </c>
      <c r="U14" s="2" t="s">
        <v>38</v>
      </c>
      <c r="V14" s="2" t="s">
        <v>734</v>
      </c>
      <c r="W14" s="5">
        <f>IF(I14="","",DATE(2000+MID(I14,8,2),MATCH(MID(I14,4,3),{"Jan","Feb","Mar","Apr","May","Jun","Jul","Aug","Sep","Oct","Nov","Dec"},0),1))</f>
        <v>46023</v>
      </c>
      <c r="X14" s="2">
        <f t="shared" si="0"/>
        <v>1596.4</v>
      </c>
      <c r="Y14" s="2">
        <f t="shared" si="1"/>
        <v>986</v>
      </c>
    </row>
    <row r="15" spans="1:25" x14ac:dyDescent="0.25">
      <c r="A15" s="2" t="s">
        <v>21</v>
      </c>
      <c r="B15" s="2" t="s">
        <v>275</v>
      </c>
      <c r="C15" s="2" t="s">
        <v>276</v>
      </c>
      <c r="D15" s="2" t="s">
        <v>98</v>
      </c>
      <c r="E15" s="2" t="s">
        <v>277</v>
      </c>
      <c r="F15" s="2" t="s">
        <v>278</v>
      </c>
      <c r="G15" s="2" t="s">
        <v>132</v>
      </c>
      <c r="H15" s="2" t="s">
        <v>279</v>
      </c>
      <c r="I15" s="2" t="s">
        <v>280</v>
      </c>
      <c r="J15" s="2" t="s">
        <v>281</v>
      </c>
      <c r="K15" s="2" t="s">
        <v>31</v>
      </c>
      <c r="L15" s="2" t="s">
        <v>282</v>
      </c>
      <c r="M15" s="2" t="s">
        <v>33</v>
      </c>
      <c r="N15" s="2" t="s">
        <v>34</v>
      </c>
      <c r="O15" s="2" t="s">
        <v>35</v>
      </c>
      <c r="P15" s="3">
        <v>170.49</v>
      </c>
      <c r="Q15" s="2">
        <v>373629512</v>
      </c>
      <c r="R15" s="2" t="s">
        <v>283</v>
      </c>
      <c r="S15" s="2" t="s">
        <v>284</v>
      </c>
      <c r="T15" s="2">
        <v>65</v>
      </c>
      <c r="U15" s="2" t="s">
        <v>38</v>
      </c>
      <c r="V15" s="2" t="s">
        <v>285</v>
      </c>
      <c r="W15" s="5">
        <f>IF(I15="","",DATE(2000+MID(I15,8,2),MATCH(MID(I15,4,3),{"Jan","Feb","Mar","Apr","May","Jun","Jul","Aug","Sep","Oct","Nov","Dec"},0),1))</f>
        <v>45962</v>
      </c>
      <c r="X15" s="2">
        <f t="shared" si="0"/>
        <v>146</v>
      </c>
      <c r="Y15" s="2">
        <f t="shared" si="1"/>
        <v>341</v>
      </c>
    </row>
    <row r="16" spans="1:25" x14ac:dyDescent="0.25">
      <c r="A16" s="2" t="s">
        <v>21</v>
      </c>
      <c r="B16" s="2" t="s">
        <v>531</v>
      </c>
      <c r="C16" s="2" t="s">
        <v>532</v>
      </c>
      <c r="D16" s="2" t="s">
        <v>132</v>
      </c>
      <c r="E16" s="2" t="s">
        <v>235</v>
      </c>
      <c r="F16" s="2" t="s">
        <v>236</v>
      </c>
      <c r="G16" s="2" t="s">
        <v>237</v>
      </c>
      <c r="H16" s="2" t="s">
        <v>1037</v>
      </c>
      <c r="I16" s="2" t="s">
        <v>1026</v>
      </c>
      <c r="J16" s="2" t="s">
        <v>1027</v>
      </c>
      <c r="K16" s="2" t="s">
        <v>31</v>
      </c>
      <c r="L16" s="2" t="s">
        <v>1038</v>
      </c>
      <c r="M16" s="2" t="s">
        <v>33</v>
      </c>
      <c r="N16" s="2" t="s">
        <v>34</v>
      </c>
      <c r="O16" s="2" t="s">
        <v>35</v>
      </c>
      <c r="P16" s="3">
        <v>918.68</v>
      </c>
      <c r="R16" s="2" t="s">
        <v>1039</v>
      </c>
      <c r="S16" s="2" t="s">
        <v>1040</v>
      </c>
      <c r="T16" s="2">
        <v>65</v>
      </c>
      <c r="U16" s="2" t="s">
        <v>119</v>
      </c>
      <c r="W16" s="5">
        <f>IF(I16="","",DATE(2000+MID(I16,8,2),MATCH(MID(I16,4,3),{"Jan","Feb","Mar","Apr","May","Jun","Jul","Aug","Sep","Oct","Nov","Dec"},0),1))</f>
        <v>46054</v>
      </c>
      <c r="X16" s="2">
        <f t="shared" si="0"/>
        <v>2771.21</v>
      </c>
      <c r="Y16" s="2">
        <f t="shared" si="1"/>
        <v>2109</v>
      </c>
    </row>
    <row r="17" spans="1:25" x14ac:dyDescent="0.25">
      <c r="A17" s="2" t="s">
        <v>21</v>
      </c>
      <c r="B17" s="2" t="s">
        <v>320</v>
      </c>
      <c r="C17" s="2" t="s">
        <v>321</v>
      </c>
      <c r="D17" s="2" t="s">
        <v>322</v>
      </c>
      <c r="E17" s="2" t="s">
        <v>244</v>
      </c>
      <c r="F17" s="2" t="s">
        <v>100</v>
      </c>
      <c r="G17" s="2" t="s">
        <v>101</v>
      </c>
      <c r="H17" s="2" t="s">
        <v>435</v>
      </c>
      <c r="I17" s="2" t="s">
        <v>417</v>
      </c>
      <c r="J17" s="2" t="s">
        <v>436</v>
      </c>
      <c r="K17" s="2" t="s">
        <v>31</v>
      </c>
      <c r="L17" s="2" t="s">
        <v>437</v>
      </c>
      <c r="M17" s="2" t="s">
        <v>33</v>
      </c>
      <c r="N17" s="2" t="s">
        <v>34</v>
      </c>
      <c r="O17" s="2" t="s">
        <v>35</v>
      </c>
      <c r="P17" s="3">
        <v>289.45999999999998</v>
      </c>
      <c r="R17" s="2" t="s">
        <v>438</v>
      </c>
      <c r="S17" s="2" t="s">
        <v>439</v>
      </c>
      <c r="T17" s="2">
        <v>65</v>
      </c>
      <c r="U17" s="2" t="s">
        <v>38</v>
      </c>
      <c r="W17" s="5">
        <f>IF(I17="","",DATE(2000+MID(I17,8,2),MATCH(MID(I17,4,3),{"Jan","Feb","Mar","Apr","May","Jun","Jul","Aug","Sep","Oct","Nov","Dec"},0),1))</f>
        <v>45962</v>
      </c>
      <c r="X17" s="2">
        <f t="shared" si="0"/>
        <v>1900.8</v>
      </c>
      <c r="Y17" s="2">
        <f t="shared" si="1"/>
        <v>398</v>
      </c>
    </row>
    <row r="18" spans="1:25" x14ac:dyDescent="0.25">
      <c r="A18" s="2" t="s">
        <v>21</v>
      </c>
      <c r="B18" s="2" t="s">
        <v>72</v>
      </c>
      <c r="C18" s="2" t="s">
        <v>579</v>
      </c>
      <c r="D18" s="2" t="s">
        <v>367</v>
      </c>
      <c r="E18" s="2" t="s">
        <v>634</v>
      </c>
      <c r="F18" s="2" t="s">
        <v>635</v>
      </c>
      <c r="G18" s="2" t="s">
        <v>636</v>
      </c>
      <c r="H18" s="2" t="s">
        <v>637</v>
      </c>
      <c r="I18" s="2" t="s">
        <v>638</v>
      </c>
      <c r="J18" s="2" t="s">
        <v>639</v>
      </c>
      <c r="K18" s="2" t="s">
        <v>31</v>
      </c>
      <c r="L18" s="2" t="s">
        <v>640</v>
      </c>
      <c r="M18" s="2" t="s">
        <v>33</v>
      </c>
      <c r="N18" s="2" t="s">
        <v>34</v>
      </c>
      <c r="O18" s="2" t="s">
        <v>35</v>
      </c>
      <c r="P18" s="3">
        <v>207.46</v>
      </c>
      <c r="Q18" s="2">
        <v>1381707083</v>
      </c>
      <c r="R18" s="2" t="s">
        <v>641</v>
      </c>
      <c r="S18" s="2" t="s">
        <v>439</v>
      </c>
      <c r="T18" s="2">
        <v>65</v>
      </c>
      <c r="U18" s="2" t="s">
        <v>38</v>
      </c>
      <c r="V18" s="2" t="s">
        <v>642</v>
      </c>
      <c r="W18" s="5">
        <f>IF(I18="","",DATE(2000+MID(I18,8,2),MATCH(MID(I18,4,3),{"Jan","Feb","Mar","Apr","May","Jun","Jul","Aug","Sep","Oct","Nov","Dec"},0),1))</f>
        <v>46023</v>
      </c>
      <c r="X18" s="2">
        <f t="shared" si="0"/>
        <v>266.64999999999998</v>
      </c>
      <c r="Y18" s="2">
        <f t="shared" si="1"/>
        <v>855</v>
      </c>
    </row>
    <row r="19" spans="1:25" x14ac:dyDescent="0.25">
      <c r="A19" s="2" t="s">
        <v>21</v>
      </c>
      <c r="B19" s="2" t="s">
        <v>72</v>
      </c>
      <c r="C19" s="2" t="s">
        <v>579</v>
      </c>
      <c r="D19" s="2" t="s">
        <v>367</v>
      </c>
      <c r="E19" s="2" t="s">
        <v>1197</v>
      </c>
      <c r="F19" s="2" t="s">
        <v>1198</v>
      </c>
      <c r="G19" s="2" t="s">
        <v>1199</v>
      </c>
      <c r="H19" s="2" t="s">
        <v>1200</v>
      </c>
      <c r="I19" s="2" t="s">
        <v>1201</v>
      </c>
      <c r="J19" s="2" t="s">
        <v>1202</v>
      </c>
      <c r="K19" s="2" t="s">
        <v>31</v>
      </c>
      <c r="L19" s="2" t="s">
        <v>1203</v>
      </c>
      <c r="M19" s="2" t="s">
        <v>33</v>
      </c>
      <c r="N19" s="2" t="s">
        <v>34</v>
      </c>
      <c r="O19" s="2" t="s">
        <v>35</v>
      </c>
      <c r="P19" s="3">
        <v>215.39</v>
      </c>
      <c r="Q19" s="2">
        <v>1381688655</v>
      </c>
      <c r="R19" s="2" t="s">
        <v>1204</v>
      </c>
      <c r="S19" s="2" t="s">
        <v>1205</v>
      </c>
      <c r="T19" s="2">
        <v>65</v>
      </c>
      <c r="U19" s="2" t="s">
        <v>38</v>
      </c>
      <c r="V19" s="2" t="s">
        <v>1206</v>
      </c>
      <c r="W19" s="5">
        <f>IF(I19="","",DATE(2000+MID(I19,8,2),MATCH(MID(I19,4,3),{"Jan","Feb","Mar","Apr","May","Jun","Jul","Aug","Sep","Oct","Nov","Dec"},0),1))</f>
        <v>46082</v>
      </c>
      <c r="X19" s="2">
        <f t="shared" si="0"/>
        <v>469.25</v>
      </c>
      <c r="Y19" s="2">
        <f t="shared" si="1"/>
        <v>418</v>
      </c>
    </row>
    <row r="20" spans="1:25" x14ac:dyDescent="0.25">
      <c r="A20" s="2" t="s">
        <v>21</v>
      </c>
      <c r="B20" s="2" t="s">
        <v>310</v>
      </c>
      <c r="C20" s="2" t="s">
        <v>311</v>
      </c>
      <c r="D20" s="2" t="s">
        <v>135</v>
      </c>
      <c r="E20" s="2" t="s">
        <v>753</v>
      </c>
      <c r="F20" s="2" t="s">
        <v>754</v>
      </c>
      <c r="G20" s="2" t="s">
        <v>74</v>
      </c>
      <c r="H20" s="2" t="s">
        <v>955</v>
      </c>
      <c r="I20" s="2" t="s">
        <v>956</v>
      </c>
      <c r="J20" s="2" t="s">
        <v>957</v>
      </c>
      <c r="K20" s="2" t="s">
        <v>31</v>
      </c>
      <c r="L20" s="2" t="s">
        <v>958</v>
      </c>
      <c r="M20" s="2" t="s">
        <v>33</v>
      </c>
      <c r="N20" s="2" t="s">
        <v>34</v>
      </c>
      <c r="O20" s="2" t="s">
        <v>35</v>
      </c>
      <c r="P20" s="3">
        <v>288.01</v>
      </c>
      <c r="Q20" s="2">
        <v>622503766</v>
      </c>
      <c r="R20" s="2" t="s">
        <v>959</v>
      </c>
      <c r="S20" s="2" t="s">
        <v>960</v>
      </c>
      <c r="T20" s="2">
        <v>65</v>
      </c>
      <c r="U20" s="2" t="s">
        <v>119</v>
      </c>
      <c r="V20" s="2" t="s">
        <v>961</v>
      </c>
      <c r="W20" s="5">
        <f>IF(I20="","",DATE(2000+MID(I20,8,2),MATCH(MID(I20,4,3),{"Jan","Feb","Mar","Apr","May","Jun","Jul","Aug","Sep","Oct","Nov","Dec"},0),1))</f>
        <v>46054</v>
      </c>
      <c r="X20" s="2">
        <f t="shared" si="0"/>
        <v>1344</v>
      </c>
      <c r="Y20" s="2">
        <f t="shared" si="1"/>
        <v>952</v>
      </c>
    </row>
    <row r="21" spans="1:25" x14ac:dyDescent="0.25">
      <c r="A21" s="2" t="s">
        <v>21</v>
      </c>
      <c r="B21" s="2" t="s">
        <v>406</v>
      </c>
      <c r="C21" s="2" t="s">
        <v>278</v>
      </c>
      <c r="D21" s="2" t="s">
        <v>132</v>
      </c>
      <c r="E21" s="2" t="s">
        <v>318</v>
      </c>
      <c r="F21" s="2" t="s">
        <v>319</v>
      </c>
      <c r="G21" s="2" t="s">
        <v>98</v>
      </c>
      <c r="H21" s="2" t="s">
        <v>407</v>
      </c>
      <c r="I21" s="2" t="s">
        <v>1128</v>
      </c>
      <c r="J21" s="2" t="s">
        <v>1095</v>
      </c>
      <c r="K21" s="2" t="s">
        <v>31</v>
      </c>
      <c r="L21" s="2" t="s">
        <v>1139</v>
      </c>
      <c r="M21" s="2" t="s">
        <v>33</v>
      </c>
      <c r="N21" s="2" t="s">
        <v>34</v>
      </c>
      <c r="O21" s="2" t="s">
        <v>35</v>
      </c>
      <c r="P21" s="3">
        <v>752.86</v>
      </c>
      <c r="Q21" s="2">
        <v>1180225268</v>
      </c>
      <c r="R21" s="2" t="s">
        <v>1140</v>
      </c>
      <c r="S21" s="2" t="s">
        <v>1141</v>
      </c>
      <c r="T21" s="2">
        <v>65</v>
      </c>
      <c r="U21" s="2" t="s">
        <v>188</v>
      </c>
      <c r="V21" s="2" t="s">
        <v>1142</v>
      </c>
      <c r="W21" s="5">
        <f>IF(I21="","",DATE(2000+MID(I21,8,2),MATCH(MID(I21,4,3),{"Jan","Feb","Mar","Apr","May","Jun","Jul","Aug","Sep","Oct","Nov","Dec"},0),1))</f>
        <v>46082</v>
      </c>
      <c r="X21" s="2">
        <f t="shared" si="0"/>
        <v>10393.6</v>
      </c>
      <c r="Y21" s="2">
        <f t="shared" si="1"/>
        <v>319</v>
      </c>
    </row>
    <row r="22" spans="1:25" x14ac:dyDescent="0.25">
      <c r="A22" s="2" t="s">
        <v>21</v>
      </c>
      <c r="B22" s="2" t="s">
        <v>690</v>
      </c>
      <c r="C22" s="2" t="s">
        <v>691</v>
      </c>
      <c r="D22" s="2" t="s">
        <v>132</v>
      </c>
      <c r="E22" s="2" t="s">
        <v>786</v>
      </c>
      <c r="F22" s="2" t="s">
        <v>787</v>
      </c>
      <c r="G22" s="2" t="s">
        <v>24</v>
      </c>
      <c r="H22" s="2" t="s">
        <v>416</v>
      </c>
      <c r="I22" s="2" t="s">
        <v>777</v>
      </c>
      <c r="J22" s="2" t="s">
        <v>757</v>
      </c>
      <c r="K22" s="2" t="s">
        <v>31</v>
      </c>
      <c r="L22" s="2" t="s">
        <v>788</v>
      </c>
      <c r="M22" s="2" t="s">
        <v>33</v>
      </c>
      <c r="N22" s="2" t="s">
        <v>34</v>
      </c>
      <c r="O22" s="2" t="s">
        <v>35</v>
      </c>
      <c r="P22" s="3">
        <v>129.26</v>
      </c>
      <c r="Q22" s="2">
        <v>862212793</v>
      </c>
      <c r="R22" s="2" t="s">
        <v>789</v>
      </c>
      <c r="S22" s="2" t="s">
        <v>790</v>
      </c>
      <c r="T22" s="2">
        <v>65</v>
      </c>
      <c r="U22" s="2" t="s">
        <v>38</v>
      </c>
      <c r="V22" s="2" t="s">
        <v>791</v>
      </c>
      <c r="W22" s="5">
        <f>IF(I22="","",DATE(2000+MID(I22,8,2),MATCH(MID(I22,4,3),{"Jan","Feb","Mar","Apr","May","Jun","Jul","Aug","Sep","Oct","Nov","Dec"},0),1))</f>
        <v>46023</v>
      </c>
      <c r="X22" s="2">
        <f t="shared" si="0"/>
        <v>48</v>
      </c>
      <c r="Y22" s="2">
        <f t="shared" si="1"/>
        <v>291</v>
      </c>
    </row>
    <row r="23" spans="1:25" x14ac:dyDescent="0.25">
      <c r="A23" s="2" t="s">
        <v>21</v>
      </c>
      <c r="B23" s="2" t="s">
        <v>762</v>
      </c>
      <c r="C23" s="2" t="s">
        <v>763</v>
      </c>
      <c r="D23" s="2" t="s">
        <v>98</v>
      </c>
      <c r="E23" s="2" t="s">
        <v>764</v>
      </c>
      <c r="F23" s="2" t="s">
        <v>765</v>
      </c>
      <c r="G23" s="2" t="s">
        <v>111</v>
      </c>
      <c r="H23" s="2" t="s">
        <v>766</v>
      </c>
      <c r="I23" s="2" t="s">
        <v>756</v>
      </c>
      <c r="J23" s="2" t="s">
        <v>767</v>
      </c>
      <c r="K23" s="2" t="s">
        <v>31</v>
      </c>
      <c r="L23" s="2" t="s">
        <v>768</v>
      </c>
      <c r="M23" s="2" t="s">
        <v>33</v>
      </c>
      <c r="N23" s="2" t="s">
        <v>34</v>
      </c>
      <c r="O23" s="2" t="s">
        <v>35</v>
      </c>
      <c r="P23" s="3">
        <v>353.71</v>
      </c>
      <c r="R23" s="2" t="s">
        <v>769</v>
      </c>
      <c r="S23" s="2" t="s">
        <v>770</v>
      </c>
      <c r="T23" s="2">
        <v>65</v>
      </c>
      <c r="U23" s="2" t="s">
        <v>188</v>
      </c>
      <c r="W23" s="5">
        <f>IF(I23="","",DATE(2000+MID(I23,8,2),MATCH(MID(I23,4,3),{"Jan","Feb","Mar","Apr","May","Jun","Jul","Aug","Sep","Oct","Nov","Dec"},0),1))</f>
        <v>46023</v>
      </c>
      <c r="X23" s="2">
        <f t="shared" si="0"/>
        <v>2976</v>
      </c>
      <c r="Y23" s="2">
        <f t="shared" si="1"/>
        <v>441</v>
      </c>
    </row>
    <row r="24" spans="1:25" x14ac:dyDescent="0.25">
      <c r="A24" s="2" t="s">
        <v>21</v>
      </c>
      <c r="B24" s="2" t="s">
        <v>175</v>
      </c>
      <c r="C24" s="2" t="s">
        <v>176</v>
      </c>
      <c r="D24" s="2" t="s">
        <v>111</v>
      </c>
      <c r="E24" s="2" t="s">
        <v>330</v>
      </c>
      <c r="F24" s="2" t="s">
        <v>331</v>
      </c>
      <c r="G24" s="2" t="s">
        <v>332</v>
      </c>
      <c r="H24" s="2" t="s">
        <v>503</v>
      </c>
      <c r="I24" s="2" t="s">
        <v>504</v>
      </c>
      <c r="J24" s="2" t="s">
        <v>505</v>
      </c>
      <c r="K24" s="2" t="s">
        <v>31</v>
      </c>
      <c r="L24" s="2" t="s">
        <v>506</v>
      </c>
      <c r="M24" s="2" t="s">
        <v>33</v>
      </c>
      <c r="N24" s="2" t="s">
        <v>34</v>
      </c>
      <c r="O24" s="2" t="s">
        <v>35</v>
      </c>
      <c r="P24" s="3">
        <v>129.87</v>
      </c>
      <c r="Q24" s="2">
        <v>107955066</v>
      </c>
      <c r="R24" s="2" t="s">
        <v>507</v>
      </c>
      <c r="S24" s="2" t="s">
        <v>508</v>
      </c>
      <c r="T24" s="2">
        <v>65</v>
      </c>
      <c r="U24" s="2" t="s">
        <v>38</v>
      </c>
      <c r="V24" s="2" t="s">
        <v>509</v>
      </c>
      <c r="W24" s="5">
        <f>IF(I24="","",DATE(2000+MID(I24,8,2),MATCH(MID(I24,4,3),{"Jan","Feb","Mar","Apr","May","Jun","Jul","Aug","Sep","Oct","Nov","Dec"},0),1))</f>
        <v>45992</v>
      </c>
      <c r="X24" s="2">
        <f t="shared" si="0"/>
        <v>163.9</v>
      </c>
      <c r="Y24" s="2">
        <f t="shared" si="1"/>
        <v>718</v>
      </c>
    </row>
    <row r="25" spans="1:25" x14ac:dyDescent="0.25">
      <c r="A25" s="2" t="s">
        <v>21</v>
      </c>
      <c r="B25" s="2" t="s">
        <v>1297</v>
      </c>
      <c r="C25" s="2" t="s">
        <v>1298</v>
      </c>
      <c r="D25" s="2" t="s">
        <v>628</v>
      </c>
      <c r="E25" s="2" t="s">
        <v>1299</v>
      </c>
      <c r="F25" s="2" t="s">
        <v>1300</v>
      </c>
      <c r="G25" s="2" t="s">
        <v>1301</v>
      </c>
      <c r="H25" s="2" t="s">
        <v>1302</v>
      </c>
      <c r="I25" s="2" t="s">
        <v>1303</v>
      </c>
      <c r="J25" s="2" t="s">
        <v>1304</v>
      </c>
      <c r="K25" s="2" t="s">
        <v>31</v>
      </c>
      <c r="L25" s="2" t="s">
        <v>1305</v>
      </c>
      <c r="M25" s="2" t="s">
        <v>33</v>
      </c>
      <c r="N25" s="2" t="s">
        <v>34</v>
      </c>
      <c r="O25" s="2" t="s">
        <v>35</v>
      </c>
      <c r="P25" s="3">
        <v>211.04</v>
      </c>
      <c r="R25" s="2" t="s">
        <v>1306</v>
      </c>
      <c r="S25" s="2" t="s">
        <v>1307</v>
      </c>
      <c r="T25" s="2">
        <v>65</v>
      </c>
      <c r="U25" s="2" t="s">
        <v>38</v>
      </c>
      <c r="W25" s="5">
        <f>IF(I25="","",DATE(2000+MID(I25,8,2),MATCH(MID(I25,4,3),{"Jan","Feb","Mar","Apr","May","Jun","Jul","Aug","Sep","Oct","Nov","Dec"},0),1))</f>
        <v>46082</v>
      </c>
      <c r="X25" s="2">
        <f t="shared" si="0"/>
        <v>2276.8200000000002</v>
      </c>
      <c r="Y25" s="2">
        <f t="shared" si="1"/>
        <v>118</v>
      </c>
    </row>
    <row r="26" spans="1:25" x14ac:dyDescent="0.25">
      <c r="A26" s="2" t="s">
        <v>21</v>
      </c>
      <c r="B26" s="2" t="s">
        <v>690</v>
      </c>
      <c r="C26" s="2" t="s">
        <v>691</v>
      </c>
      <c r="D26" s="2" t="s">
        <v>132</v>
      </c>
      <c r="E26" s="2" t="s">
        <v>850</v>
      </c>
      <c r="F26" s="2" t="s">
        <v>851</v>
      </c>
      <c r="G26" s="2" t="s">
        <v>132</v>
      </c>
      <c r="H26" s="2" t="s">
        <v>852</v>
      </c>
      <c r="I26" s="2" t="s">
        <v>962</v>
      </c>
      <c r="J26" s="2" t="s">
        <v>963</v>
      </c>
      <c r="K26" s="2" t="s">
        <v>31</v>
      </c>
      <c r="L26" s="2" t="s">
        <v>964</v>
      </c>
      <c r="M26" s="2" t="s">
        <v>33</v>
      </c>
      <c r="N26" s="2" t="s">
        <v>34</v>
      </c>
      <c r="O26" s="2" t="s">
        <v>35</v>
      </c>
      <c r="P26" s="3">
        <v>131.72</v>
      </c>
      <c r="Q26" s="2">
        <v>862251524</v>
      </c>
      <c r="R26" s="2" t="s">
        <v>965</v>
      </c>
      <c r="S26" s="2" t="s">
        <v>966</v>
      </c>
      <c r="T26" s="2">
        <v>65</v>
      </c>
      <c r="U26" s="2" t="s">
        <v>38</v>
      </c>
      <c r="V26" s="2" t="s">
        <v>967</v>
      </c>
      <c r="W26" s="5">
        <f>IF(I26="","",DATE(2000+MID(I26,8,2),MATCH(MID(I26,4,3),{"Jan","Feb","Mar","Apr","May","Jun","Jul","Aug","Sep","Oct","Nov","Dec"},0),1))</f>
        <v>46054</v>
      </c>
      <c r="X26" s="2">
        <f t="shared" si="0"/>
        <v>68</v>
      </c>
      <c r="Y26" s="2">
        <f t="shared" si="1"/>
        <v>255</v>
      </c>
    </row>
    <row r="27" spans="1:25" x14ac:dyDescent="0.25">
      <c r="A27" s="2" t="s">
        <v>21</v>
      </c>
      <c r="B27" s="2" t="s">
        <v>690</v>
      </c>
      <c r="C27" s="2" t="s">
        <v>691</v>
      </c>
      <c r="D27" s="2" t="s">
        <v>132</v>
      </c>
      <c r="E27" s="2" t="s">
        <v>1253</v>
      </c>
      <c r="F27" s="2" t="s">
        <v>1254</v>
      </c>
      <c r="G27" s="2" t="s">
        <v>24</v>
      </c>
      <c r="H27" s="2" t="s">
        <v>1255</v>
      </c>
      <c r="I27" s="2" t="s">
        <v>1144</v>
      </c>
      <c r="J27" s="2" t="s">
        <v>1213</v>
      </c>
      <c r="K27" s="2" t="s">
        <v>31</v>
      </c>
      <c r="L27" s="2" t="s">
        <v>1256</v>
      </c>
      <c r="M27" s="2" t="s">
        <v>33</v>
      </c>
      <c r="N27" s="2" t="s">
        <v>34</v>
      </c>
      <c r="O27" s="2" t="s">
        <v>35</v>
      </c>
      <c r="P27" s="3">
        <v>147.1</v>
      </c>
      <c r="Q27" s="2">
        <v>862312786</v>
      </c>
      <c r="R27" s="2" t="s">
        <v>1251</v>
      </c>
      <c r="S27" s="2" t="s">
        <v>1257</v>
      </c>
      <c r="T27" s="2">
        <v>65</v>
      </c>
      <c r="U27" s="2" t="s">
        <v>38</v>
      </c>
      <c r="V27" s="2" t="s">
        <v>1258</v>
      </c>
      <c r="W27" s="5">
        <f>IF(I27="","",DATE(2000+MID(I27,8,2),MATCH(MID(I27,4,3),{"Jan","Feb","Mar","Apr","May","Jun","Jul","Aug","Sep","Oct","Nov","Dec"},0),1))</f>
        <v>46082</v>
      </c>
      <c r="X27" s="2">
        <f t="shared" si="0"/>
        <v>111</v>
      </c>
      <c r="Y27" s="2">
        <f t="shared" si="1"/>
        <v>329</v>
      </c>
    </row>
    <row r="28" spans="1:25" x14ac:dyDescent="0.25">
      <c r="A28" s="2" t="s">
        <v>21</v>
      </c>
      <c r="B28" s="2" t="s">
        <v>690</v>
      </c>
      <c r="C28" s="2" t="s">
        <v>691</v>
      </c>
      <c r="D28" s="2" t="s">
        <v>132</v>
      </c>
      <c r="E28" s="2" t="s">
        <v>43</v>
      </c>
      <c r="F28" s="2" t="s">
        <v>44</v>
      </c>
      <c r="G28" s="2" t="s">
        <v>24</v>
      </c>
      <c r="H28" s="2" t="s">
        <v>692</v>
      </c>
      <c r="I28" s="2" t="s">
        <v>693</v>
      </c>
      <c r="J28" s="2" t="s">
        <v>694</v>
      </c>
      <c r="K28" s="2" t="s">
        <v>31</v>
      </c>
      <c r="L28" s="2" t="s">
        <v>695</v>
      </c>
      <c r="M28" s="2" t="s">
        <v>33</v>
      </c>
      <c r="N28" s="2" t="s">
        <v>34</v>
      </c>
      <c r="O28" s="2" t="s">
        <v>35</v>
      </c>
      <c r="P28" s="3">
        <v>189.87</v>
      </c>
      <c r="R28" s="2" t="s">
        <v>696</v>
      </c>
      <c r="S28" s="2" t="s">
        <v>697</v>
      </c>
      <c r="T28" s="2">
        <v>65</v>
      </c>
      <c r="U28" s="2" t="s">
        <v>51</v>
      </c>
      <c r="W28" s="5">
        <f>IF(I28="","",DATE(2000+MID(I28,8,2),MATCH(MID(I28,4,3),{"Jan","Feb","Mar","Apr","May","Jun","Jul","Aug","Sep","Oct","Nov","Dec"},0),1))</f>
        <v>46054</v>
      </c>
      <c r="X28" s="2">
        <f t="shared" si="0"/>
        <v>499</v>
      </c>
      <c r="Y28" s="2">
        <f t="shared" si="1"/>
        <v>274</v>
      </c>
    </row>
    <row r="29" spans="1:25" x14ac:dyDescent="0.25">
      <c r="A29" s="2" t="s">
        <v>21</v>
      </c>
      <c r="B29" s="2" t="s">
        <v>690</v>
      </c>
      <c r="C29" s="2" t="s">
        <v>691</v>
      </c>
      <c r="D29" s="2" t="s">
        <v>132</v>
      </c>
      <c r="E29" s="2" t="s">
        <v>850</v>
      </c>
      <c r="F29" s="2" t="s">
        <v>851</v>
      </c>
      <c r="G29" s="2" t="s">
        <v>132</v>
      </c>
      <c r="H29" s="2" t="s">
        <v>852</v>
      </c>
      <c r="I29" s="2" t="s">
        <v>693</v>
      </c>
      <c r="J29" s="2" t="s">
        <v>694</v>
      </c>
      <c r="K29" s="2" t="s">
        <v>31</v>
      </c>
      <c r="L29" s="2" t="s">
        <v>853</v>
      </c>
      <c r="M29" s="2" t="s">
        <v>33</v>
      </c>
      <c r="N29" s="2" t="s">
        <v>34</v>
      </c>
      <c r="O29" s="2" t="s">
        <v>35</v>
      </c>
      <c r="P29" s="3">
        <v>209.19</v>
      </c>
      <c r="Q29" s="2">
        <v>862251504</v>
      </c>
      <c r="R29" s="2" t="s">
        <v>854</v>
      </c>
      <c r="S29" s="2" t="s">
        <v>697</v>
      </c>
      <c r="T29" s="2">
        <v>65</v>
      </c>
      <c r="U29" s="2" t="s">
        <v>363</v>
      </c>
      <c r="V29" s="2" t="s">
        <v>849</v>
      </c>
      <c r="W29" s="5">
        <f>IF(I29="","",DATE(2000+MID(I29,8,2),MATCH(MID(I29,4,3),{"Jan","Feb","Mar","Apr","May","Jun","Jul","Aug","Sep","Oct","Nov","Dec"},0),1))</f>
        <v>46054</v>
      </c>
      <c r="X29" s="2">
        <f t="shared" si="0"/>
        <v>825</v>
      </c>
      <c r="Y29" s="2">
        <f t="shared" si="1"/>
        <v>255</v>
      </c>
    </row>
    <row r="30" spans="1:25" x14ac:dyDescent="0.25">
      <c r="A30" s="2" t="s">
        <v>21</v>
      </c>
      <c r="B30" s="2" t="s">
        <v>615</v>
      </c>
      <c r="C30" s="2" t="s">
        <v>616</v>
      </c>
      <c r="D30" s="2" t="s">
        <v>617</v>
      </c>
      <c r="E30" s="2" t="s">
        <v>618</v>
      </c>
      <c r="F30" s="2" t="s">
        <v>619</v>
      </c>
      <c r="G30" s="2" t="s">
        <v>111</v>
      </c>
      <c r="H30" s="2" t="s">
        <v>620</v>
      </c>
      <c r="I30" s="2" t="s">
        <v>621</v>
      </c>
      <c r="J30" s="2" t="s">
        <v>603</v>
      </c>
      <c r="K30" s="2" t="s">
        <v>31</v>
      </c>
      <c r="L30" s="2" t="s">
        <v>622</v>
      </c>
      <c r="M30" s="2" t="s">
        <v>33</v>
      </c>
      <c r="N30" s="2" t="s">
        <v>34</v>
      </c>
      <c r="O30" s="2" t="s">
        <v>35</v>
      </c>
      <c r="P30" s="3">
        <v>168.02</v>
      </c>
      <c r="Q30" s="2">
        <v>1950765757</v>
      </c>
      <c r="R30" s="2" t="s">
        <v>623</v>
      </c>
      <c r="S30" s="2" t="s">
        <v>624</v>
      </c>
      <c r="T30" s="2">
        <v>65</v>
      </c>
      <c r="U30" s="2" t="s">
        <v>38</v>
      </c>
      <c r="V30" s="2" t="s">
        <v>625</v>
      </c>
      <c r="W30" s="5">
        <f>IF(I30="","",DATE(2000+MID(I30,8,2),MATCH(MID(I30,4,3),{"Jan","Feb","Mar","Apr","May","Jun","Jul","Aug","Sep","Oct","Nov","Dec"},0),1))</f>
        <v>46023</v>
      </c>
      <c r="X30" s="2">
        <f t="shared" si="0"/>
        <v>88</v>
      </c>
      <c r="Y30" s="2">
        <f t="shared" si="1"/>
        <v>925</v>
      </c>
    </row>
    <row r="31" spans="1:25" x14ac:dyDescent="0.25">
      <c r="A31" s="2" t="s">
        <v>21</v>
      </c>
      <c r="B31" s="2" t="s">
        <v>206</v>
      </c>
      <c r="C31" s="2" t="s">
        <v>207</v>
      </c>
      <c r="D31" s="2" t="s">
        <v>42</v>
      </c>
      <c r="E31" s="2" t="s">
        <v>208</v>
      </c>
      <c r="F31" s="2" t="s">
        <v>209</v>
      </c>
      <c r="G31" s="2" t="s">
        <v>111</v>
      </c>
      <c r="H31" s="2" t="s">
        <v>210</v>
      </c>
      <c r="I31" s="2" t="s">
        <v>211</v>
      </c>
      <c r="J31" s="2" t="s">
        <v>212</v>
      </c>
      <c r="K31" s="2" t="s">
        <v>31</v>
      </c>
      <c r="L31" s="2" t="s">
        <v>213</v>
      </c>
      <c r="M31" s="2" t="s">
        <v>33</v>
      </c>
      <c r="N31" s="2" t="s">
        <v>34</v>
      </c>
      <c r="O31" s="2" t="s">
        <v>35</v>
      </c>
      <c r="P31" s="3">
        <v>338.92</v>
      </c>
      <c r="Q31" s="2">
        <v>553084931</v>
      </c>
      <c r="R31" s="2" t="s">
        <v>214</v>
      </c>
      <c r="S31" s="2" t="s">
        <v>215</v>
      </c>
      <c r="T31" s="2">
        <v>65</v>
      </c>
      <c r="U31" s="2" t="s">
        <v>38</v>
      </c>
      <c r="V31" s="2" t="s">
        <v>216</v>
      </c>
      <c r="W31" s="5">
        <f>IF(I31="","",DATE(2000+MID(I31,8,2),MATCH(MID(I31,4,3),{"Jan","Feb","Mar","Apr","May","Jun","Jul","Aug","Sep","Oct","Nov","Dec"},0),1))</f>
        <v>45931</v>
      </c>
      <c r="X31" s="2">
        <f t="shared" si="0"/>
        <v>2600</v>
      </c>
      <c r="Y31" s="2">
        <f t="shared" si="1"/>
        <v>502</v>
      </c>
    </row>
    <row r="32" spans="1:25" x14ac:dyDescent="0.25">
      <c r="A32" s="2" t="s">
        <v>21</v>
      </c>
      <c r="B32" s="2" t="s">
        <v>72</v>
      </c>
      <c r="C32" s="2" t="s">
        <v>349</v>
      </c>
      <c r="D32" s="2" t="s">
        <v>132</v>
      </c>
      <c r="E32" s="2" t="s">
        <v>1066</v>
      </c>
      <c r="F32" s="2" t="s">
        <v>1067</v>
      </c>
      <c r="G32" s="2" t="s">
        <v>382</v>
      </c>
      <c r="H32" s="2" t="s">
        <v>1068</v>
      </c>
      <c r="I32" s="2" t="s">
        <v>1069</v>
      </c>
      <c r="J32" s="2" t="s">
        <v>1053</v>
      </c>
      <c r="K32" s="2" t="s">
        <v>31</v>
      </c>
      <c r="L32" s="2" t="s">
        <v>1070</v>
      </c>
      <c r="M32" s="2" t="s">
        <v>33</v>
      </c>
      <c r="N32" s="2" t="s">
        <v>34</v>
      </c>
      <c r="O32" s="2" t="s">
        <v>35</v>
      </c>
      <c r="P32" s="3">
        <v>183.52</v>
      </c>
      <c r="Q32" s="2">
        <v>1271509442</v>
      </c>
      <c r="R32" s="2" t="s">
        <v>1071</v>
      </c>
      <c r="S32" s="2" t="s">
        <v>215</v>
      </c>
      <c r="T32" s="2">
        <v>65</v>
      </c>
      <c r="U32" s="2" t="s">
        <v>38</v>
      </c>
      <c r="V32" s="2" t="s">
        <v>1072</v>
      </c>
      <c r="W32" s="5">
        <f>IF(I32="","",DATE(2000+MID(I32,8,2),MATCH(MID(I32,4,3),{"Jan","Feb","Mar","Apr","May","Jun","Jul","Aug","Sep","Oct","Nov","Dec"},0),1))</f>
        <v>46082</v>
      </c>
      <c r="X32" s="2">
        <f t="shared" si="0"/>
        <v>1050</v>
      </c>
      <c r="Y32" s="2">
        <f t="shared" si="1"/>
        <v>196</v>
      </c>
    </row>
    <row r="33" spans="1:25" x14ac:dyDescent="0.25">
      <c r="A33" s="2" t="s">
        <v>21</v>
      </c>
      <c r="B33" s="2" t="s">
        <v>1548</v>
      </c>
      <c r="C33" s="2" t="s">
        <v>340</v>
      </c>
      <c r="D33" s="2" t="s">
        <v>74</v>
      </c>
      <c r="E33" s="2" t="s">
        <v>1549</v>
      </c>
      <c r="F33" s="2" t="s">
        <v>1550</v>
      </c>
      <c r="G33" s="2" t="s">
        <v>322</v>
      </c>
      <c r="H33" s="2" t="s">
        <v>1551</v>
      </c>
      <c r="I33" s="2" t="s">
        <v>1552</v>
      </c>
      <c r="J33" s="2" t="s">
        <v>1553</v>
      </c>
      <c r="K33" s="2" t="s">
        <v>31</v>
      </c>
      <c r="L33" s="2" t="s">
        <v>1554</v>
      </c>
      <c r="M33" s="2" t="s">
        <v>33</v>
      </c>
      <c r="N33" s="2" t="s">
        <v>1318</v>
      </c>
      <c r="O33" s="2" t="s">
        <v>1319</v>
      </c>
      <c r="P33" s="3">
        <v>659.75</v>
      </c>
      <c r="Q33" s="2">
        <v>464092850</v>
      </c>
      <c r="R33" s="2" t="s">
        <v>1555</v>
      </c>
      <c r="S33" s="2" t="s">
        <v>1556</v>
      </c>
      <c r="T33" s="2">
        <v>65</v>
      </c>
      <c r="U33" s="2" t="s">
        <v>119</v>
      </c>
      <c r="V33" s="2" t="s">
        <v>1552</v>
      </c>
      <c r="W33" s="5">
        <f>IF(I33="","",DATE(2000+MID(I33,8,2),MATCH(MID(I33,4,3),{"Jan","Feb","Mar","Apr","May","Jun","Jul","Aug","Sep","Oct","Nov","Dec"},0),1))</f>
        <v>46023</v>
      </c>
      <c r="X33" s="2">
        <f t="shared" si="0"/>
        <v>5100</v>
      </c>
      <c r="Y33" s="2">
        <f t="shared" si="1"/>
        <v>914</v>
      </c>
    </row>
    <row r="34" spans="1:25" x14ac:dyDescent="0.25">
      <c r="A34" s="2" t="s">
        <v>21</v>
      </c>
      <c r="B34" s="2" t="s">
        <v>454</v>
      </c>
      <c r="C34" s="2" t="s">
        <v>455</v>
      </c>
      <c r="D34" s="2" t="s">
        <v>101</v>
      </c>
      <c r="E34" s="2" t="s">
        <v>456</v>
      </c>
      <c r="F34" s="2" t="s">
        <v>457</v>
      </c>
      <c r="G34" s="2" t="s">
        <v>101</v>
      </c>
      <c r="H34" s="2" t="s">
        <v>458</v>
      </c>
      <c r="I34" s="2" t="s">
        <v>805</v>
      </c>
      <c r="J34" s="2" t="s">
        <v>796</v>
      </c>
      <c r="K34" s="2" t="s">
        <v>31</v>
      </c>
      <c r="L34" s="2" t="s">
        <v>461</v>
      </c>
      <c r="M34" s="2" t="s">
        <v>33</v>
      </c>
      <c r="N34" s="2" t="s">
        <v>34</v>
      </c>
      <c r="O34" s="2" t="s">
        <v>35</v>
      </c>
      <c r="P34" s="3">
        <v>223.57</v>
      </c>
      <c r="Q34" s="2">
        <v>51812853</v>
      </c>
      <c r="R34" s="2" t="s">
        <v>806</v>
      </c>
      <c r="S34" s="2" t="s">
        <v>807</v>
      </c>
      <c r="T34" s="2">
        <v>250</v>
      </c>
      <c r="U34" s="2" t="s">
        <v>188</v>
      </c>
      <c r="V34" s="2" t="s">
        <v>808</v>
      </c>
      <c r="W34" s="5">
        <f>IF(I34="","",DATE(2000+MID(I34,8,2),MATCH(MID(I34,4,3),{"Jan","Feb","Mar","Apr","May","Jun","Jul","Aug","Sep","Oct","Nov","Dec"},0),1))</f>
        <v>46023</v>
      </c>
      <c r="X34" s="2">
        <f t="shared" si="0"/>
        <v>234.96</v>
      </c>
      <c r="Y34" s="2">
        <f t="shared" si="1"/>
        <v>199</v>
      </c>
    </row>
    <row r="35" spans="1:25" x14ac:dyDescent="0.25">
      <c r="A35" s="2" t="s">
        <v>21</v>
      </c>
      <c r="B35" s="2" t="s">
        <v>1457</v>
      </c>
      <c r="C35" s="2" t="s">
        <v>87</v>
      </c>
      <c r="D35" s="2" t="s">
        <v>88</v>
      </c>
      <c r="E35" s="2" t="s">
        <v>825</v>
      </c>
      <c r="F35" s="2" t="s">
        <v>826</v>
      </c>
      <c r="G35" s="2" t="s">
        <v>111</v>
      </c>
      <c r="H35" s="2" t="s">
        <v>1458</v>
      </c>
      <c r="I35" s="2" t="s">
        <v>1459</v>
      </c>
      <c r="J35" s="2" t="s">
        <v>1460</v>
      </c>
      <c r="K35" s="2" t="s">
        <v>31</v>
      </c>
      <c r="L35" s="2" t="s">
        <v>885</v>
      </c>
      <c r="M35" s="2" t="s">
        <v>33</v>
      </c>
      <c r="N35" s="2" t="s">
        <v>1318</v>
      </c>
      <c r="O35" s="2" t="s">
        <v>1319</v>
      </c>
      <c r="P35" s="3">
        <v>206.4</v>
      </c>
      <c r="R35" s="2" t="s">
        <v>1461</v>
      </c>
      <c r="S35" s="2" t="s">
        <v>1462</v>
      </c>
      <c r="T35" s="2">
        <v>65</v>
      </c>
      <c r="U35" s="2" t="s">
        <v>38</v>
      </c>
      <c r="W35" s="5">
        <f>IF(I35="","",DATE(2000+MID(I35,8,2),MATCH(MID(I35,4,3),{"Jan","Feb","Mar","Apr","May","Jun","Jul","Aug","Sep","Oct","Nov","Dec"},0),1))</f>
        <v>45962</v>
      </c>
      <c r="X35" s="2">
        <f t="shared" si="0"/>
        <v>400</v>
      </c>
      <c r="Y35" s="2">
        <f t="shared" si="1"/>
        <v>237</v>
      </c>
    </row>
    <row r="36" spans="1:25" x14ac:dyDescent="0.25">
      <c r="A36" s="2" t="s">
        <v>21</v>
      </c>
      <c r="B36" s="2" t="s">
        <v>454</v>
      </c>
      <c r="C36" s="2" t="s">
        <v>455</v>
      </c>
      <c r="D36" s="2" t="s">
        <v>101</v>
      </c>
      <c r="E36" s="2" t="s">
        <v>456</v>
      </c>
      <c r="F36" s="2" t="s">
        <v>457</v>
      </c>
      <c r="G36" s="2" t="s">
        <v>101</v>
      </c>
      <c r="H36" s="2" t="s">
        <v>458</v>
      </c>
      <c r="I36" s="2" t="s">
        <v>459</v>
      </c>
      <c r="J36" s="2" t="s">
        <v>460</v>
      </c>
      <c r="K36" s="2" t="s">
        <v>31</v>
      </c>
      <c r="L36" s="2" t="s">
        <v>461</v>
      </c>
      <c r="M36" s="2" t="s">
        <v>33</v>
      </c>
      <c r="N36" s="2" t="s">
        <v>34</v>
      </c>
      <c r="O36" s="2" t="s">
        <v>35</v>
      </c>
      <c r="P36" s="3">
        <v>207.8</v>
      </c>
      <c r="Q36" s="2">
        <v>51811439</v>
      </c>
      <c r="R36" s="2" t="s">
        <v>462</v>
      </c>
      <c r="S36" s="2" t="s">
        <v>463</v>
      </c>
      <c r="T36" s="2">
        <v>250</v>
      </c>
      <c r="U36" s="2" t="s">
        <v>188</v>
      </c>
      <c r="V36" s="2" t="s">
        <v>464</v>
      </c>
      <c r="W36" s="5">
        <f>IF(I36="","",DATE(2000+MID(I36,8,2),MATCH(MID(I36,4,3),{"Jan","Feb","Mar","Apr","May","Jun","Jul","Aug","Sep","Oct","Nov","Dec"},0),1))</f>
        <v>45992</v>
      </c>
      <c r="X36" s="2">
        <f t="shared" si="0"/>
        <v>234.96</v>
      </c>
      <c r="Y36" s="2">
        <f t="shared" si="1"/>
        <v>199</v>
      </c>
    </row>
    <row r="37" spans="1:25" x14ac:dyDescent="0.25">
      <c r="A37" s="2" t="s">
        <v>21</v>
      </c>
      <c r="B37" s="2" t="s">
        <v>414</v>
      </c>
      <c r="C37" s="2" t="s">
        <v>415</v>
      </c>
      <c r="D37" s="2" t="s">
        <v>111</v>
      </c>
      <c r="E37" s="2" t="s">
        <v>320</v>
      </c>
      <c r="F37" s="2" t="s">
        <v>321</v>
      </c>
      <c r="G37" s="2" t="s">
        <v>322</v>
      </c>
      <c r="H37" s="2" t="s">
        <v>416</v>
      </c>
      <c r="I37" s="2" t="s">
        <v>1191</v>
      </c>
      <c r="J37" s="2" t="s">
        <v>1192</v>
      </c>
      <c r="K37" s="2" t="s">
        <v>31</v>
      </c>
      <c r="L37" s="2" t="s">
        <v>1193</v>
      </c>
      <c r="M37" s="2" t="s">
        <v>33</v>
      </c>
      <c r="N37" s="2" t="s">
        <v>34</v>
      </c>
      <c r="O37" s="2" t="s">
        <v>35</v>
      </c>
      <c r="P37" s="3">
        <v>352.12</v>
      </c>
      <c r="Q37" s="2">
        <v>112810844</v>
      </c>
      <c r="R37" s="2" t="s">
        <v>1194</v>
      </c>
      <c r="S37" s="2" t="s">
        <v>1195</v>
      </c>
      <c r="T37" s="2">
        <v>65</v>
      </c>
      <c r="U37" s="2" t="s">
        <v>38</v>
      </c>
      <c r="V37" s="2" t="s">
        <v>1196</v>
      </c>
      <c r="W37" s="5">
        <f>IF(I37="","",DATE(2000+MID(I37,8,2),MATCH(MID(I37,4,3),{"Jan","Feb","Mar","Apr","May","Jun","Jul","Aug","Sep","Oct","Nov","Dec"},0),1))</f>
        <v>46082</v>
      </c>
      <c r="X37" s="2">
        <f t="shared" si="0"/>
        <v>3118.71</v>
      </c>
      <c r="Y37" s="2">
        <f t="shared" si="1"/>
        <v>291</v>
      </c>
    </row>
    <row r="38" spans="1:25" x14ac:dyDescent="0.25">
      <c r="A38" s="2" t="s">
        <v>21</v>
      </c>
      <c r="B38" s="2" t="s">
        <v>1078</v>
      </c>
      <c r="C38" s="2" t="s">
        <v>1079</v>
      </c>
      <c r="D38" s="2" t="s">
        <v>74</v>
      </c>
      <c r="E38" s="2" t="s">
        <v>1080</v>
      </c>
      <c r="F38" s="2" t="s">
        <v>1081</v>
      </c>
      <c r="G38" s="2" t="s">
        <v>725</v>
      </c>
      <c r="H38" s="2" t="s">
        <v>1082</v>
      </c>
      <c r="I38" s="2" t="s">
        <v>1083</v>
      </c>
      <c r="J38" s="2" t="s">
        <v>1084</v>
      </c>
      <c r="K38" s="2" t="s">
        <v>31</v>
      </c>
      <c r="L38" s="2" t="s">
        <v>1085</v>
      </c>
      <c r="M38" s="2" t="s">
        <v>33</v>
      </c>
      <c r="N38" s="2" t="s">
        <v>34</v>
      </c>
      <c r="O38" s="2" t="s">
        <v>35</v>
      </c>
      <c r="P38" s="3">
        <v>869.64</v>
      </c>
      <c r="Q38" s="2">
        <v>2301151821</v>
      </c>
      <c r="R38" s="2" t="s">
        <v>1086</v>
      </c>
      <c r="S38" s="2" t="s">
        <v>1087</v>
      </c>
      <c r="T38" s="2">
        <v>65</v>
      </c>
      <c r="U38" s="2" t="s">
        <v>182</v>
      </c>
      <c r="V38" s="2" t="s">
        <v>1088</v>
      </c>
      <c r="W38" s="5">
        <f>IF(I38="","",DATE(2000+MID(I38,8,2),MATCH(MID(I38,4,3),{"Jan","Feb","Mar","Apr","May","Jun","Jul","Aug","Sep","Oct","Nov","Dec"},0),1))</f>
        <v>46082</v>
      </c>
      <c r="X38" s="2">
        <f t="shared" si="0"/>
        <v>3408.34</v>
      </c>
      <c r="Y38" s="2">
        <f t="shared" si="1"/>
        <v>695</v>
      </c>
    </row>
    <row r="39" spans="1:25" x14ac:dyDescent="0.25">
      <c r="A39" s="2" t="s">
        <v>21</v>
      </c>
      <c r="B39" s="2" t="s">
        <v>1089</v>
      </c>
      <c r="C39" s="2" t="s">
        <v>1090</v>
      </c>
      <c r="D39" s="2" t="s">
        <v>332</v>
      </c>
      <c r="E39" s="2" t="s">
        <v>1091</v>
      </c>
      <c r="F39" s="2" t="s">
        <v>1092</v>
      </c>
      <c r="G39" s="2" t="s">
        <v>98</v>
      </c>
      <c r="H39" s="2" t="s">
        <v>1093</v>
      </c>
      <c r="I39" s="2" t="s">
        <v>1094</v>
      </c>
      <c r="J39" s="2" t="s">
        <v>1095</v>
      </c>
      <c r="K39" s="2" t="s">
        <v>31</v>
      </c>
      <c r="L39" s="2" t="s">
        <v>1096</v>
      </c>
      <c r="M39" s="2" t="s">
        <v>33</v>
      </c>
      <c r="N39" s="2" t="s">
        <v>34</v>
      </c>
      <c r="O39" s="2" t="s">
        <v>35</v>
      </c>
      <c r="P39" s="3">
        <v>354.58</v>
      </c>
      <c r="R39" s="2" t="s">
        <v>1097</v>
      </c>
      <c r="S39" s="2" t="s">
        <v>1098</v>
      </c>
      <c r="T39" s="2">
        <v>65</v>
      </c>
      <c r="U39" s="2" t="s">
        <v>38</v>
      </c>
      <c r="W39" s="5">
        <f>IF(I39="","",DATE(2000+MID(I39,8,2),MATCH(MID(I39,4,3),{"Jan","Feb","Mar","Apr","May","Jun","Jul","Aug","Sep","Oct","Nov","Dec"},0),1))</f>
        <v>46082</v>
      </c>
      <c r="X39" s="2">
        <f t="shared" si="0"/>
        <v>1464</v>
      </c>
      <c r="Y39" s="2">
        <f t="shared" si="1"/>
        <v>469</v>
      </c>
    </row>
    <row r="40" spans="1:25" x14ac:dyDescent="0.25">
      <c r="A40" s="2" t="s">
        <v>21</v>
      </c>
      <c r="B40" s="2" t="s">
        <v>72</v>
      </c>
      <c r="C40" s="2" t="s">
        <v>349</v>
      </c>
      <c r="D40" s="2" t="s">
        <v>132</v>
      </c>
      <c r="E40" s="2" t="s">
        <v>986</v>
      </c>
      <c r="F40" s="2" t="s">
        <v>987</v>
      </c>
      <c r="G40" s="2" t="s">
        <v>988</v>
      </c>
      <c r="H40" s="2" t="s">
        <v>989</v>
      </c>
      <c r="I40" s="2" t="s">
        <v>980</v>
      </c>
      <c r="J40" s="2" t="s">
        <v>990</v>
      </c>
      <c r="K40" s="2" t="s">
        <v>31</v>
      </c>
      <c r="L40" s="2" t="s">
        <v>991</v>
      </c>
      <c r="M40" s="2" t="s">
        <v>33</v>
      </c>
      <c r="N40" s="2" t="s">
        <v>34</v>
      </c>
      <c r="O40" s="2" t="s">
        <v>35</v>
      </c>
      <c r="P40" s="3">
        <v>1344.6</v>
      </c>
      <c r="Q40" s="2">
        <v>1271509380</v>
      </c>
      <c r="R40" s="2" t="s">
        <v>992</v>
      </c>
      <c r="S40" s="2" t="s">
        <v>993</v>
      </c>
      <c r="T40" s="2">
        <v>125</v>
      </c>
      <c r="U40" s="2" t="s">
        <v>358</v>
      </c>
      <c r="V40" s="2" t="s">
        <v>994</v>
      </c>
      <c r="W40" s="5">
        <f>IF(I40="","",DATE(2000+MID(I40,8,2),MATCH(MID(I40,4,3),{"Jan","Feb","Mar","Apr","May","Jun","Jul","Aug","Sep","Oct","Nov","Dec"},0),1))</f>
        <v>46054</v>
      </c>
      <c r="X40" s="2">
        <f t="shared" si="0"/>
        <v>4725</v>
      </c>
      <c r="Y40" s="2">
        <f t="shared" si="1"/>
        <v>1841</v>
      </c>
    </row>
    <row r="41" spans="1:25" x14ac:dyDescent="0.25">
      <c r="A41" s="2" t="s">
        <v>21</v>
      </c>
      <c r="B41" s="2" t="s">
        <v>72</v>
      </c>
      <c r="C41" s="2" t="s">
        <v>349</v>
      </c>
      <c r="D41" s="2" t="s">
        <v>132</v>
      </c>
      <c r="E41" s="2" t="s">
        <v>365</v>
      </c>
      <c r="F41" s="2" t="s">
        <v>366</v>
      </c>
      <c r="G41" s="2" t="s">
        <v>367</v>
      </c>
      <c r="H41" s="2" t="s">
        <v>199</v>
      </c>
      <c r="I41" s="2" t="s">
        <v>1073</v>
      </c>
      <c r="J41" s="2" t="s">
        <v>1074</v>
      </c>
      <c r="K41" s="2" t="s">
        <v>31</v>
      </c>
      <c r="L41" s="2" t="s">
        <v>1075</v>
      </c>
      <c r="M41" s="2" t="s">
        <v>33</v>
      </c>
      <c r="N41" s="2" t="s">
        <v>34</v>
      </c>
      <c r="O41" s="2" t="s">
        <v>35</v>
      </c>
      <c r="P41" s="3">
        <v>707.38</v>
      </c>
      <c r="Q41" s="2">
        <v>1271596641</v>
      </c>
      <c r="R41" s="2" t="s">
        <v>1076</v>
      </c>
      <c r="S41" s="2" t="s">
        <v>993</v>
      </c>
      <c r="T41" s="2">
        <v>125</v>
      </c>
      <c r="U41" s="2" t="s">
        <v>188</v>
      </c>
      <c r="V41" s="2" t="s">
        <v>1077</v>
      </c>
      <c r="W41" s="5">
        <f>IF(I41="","",DATE(2000+MID(I41,8,2),MATCH(MID(I41,4,3),{"Jan","Feb","Mar","Apr","May","Jun","Jul","Aug","Sep","Oct","Nov","Dec"},0),1))</f>
        <v>46082</v>
      </c>
      <c r="X41" s="2">
        <f t="shared" si="0"/>
        <v>2665</v>
      </c>
      <c r="Y41" s="2">
        <f t="shared" si="1"/>
        <v>603</v>
      </c>
    </row>
    <row r="42" spans="1:25" x14ac:dyDescent="0.25">
      <c r="A42" s="2" t="s">
        <v>21</v>
      </c>
      <c r="B42" s="2" t="s">
        <v>72</v>
      </c>
      <c r="C42" s="2" t="s">
        <v>349</v>
      </c>
      <c r="D42" s="2" t="s">
        <v>132</v>
      </c>
      <c r="E42" s="2" t="s">
        <v>998</v>
      </c>
      <c r="F42" s="2" t="s">
        <v>999</v>
      </c>
      <c r="G42" s="2" t="s">
        <v>1000</v>
      </c>
      <c r="H42" s="2" t="s">
        <v>1001</v>
      </c>
      <c r="I42" s="2" t="s">
        <v>1099</v>
      </c>
      <c r="J42" s="2" t="s">
        <v>1100</v>
      </c>
      <c r="K42" s="2" t="s">
        <v>31</v>
      </c>
      <c r="L42" s="2" t="s">
        <v>976</v>
      </c>
      <c r="M42" s="2" t="s">
        <v>33</v>
      </c>
      <c r="N42" s="2" t="s">
        <v>34</v>
      </c>
      <c r="O42" s="2" t="s">
        <v>35</v>
      </c>
      <c r="P42" s="3">
        <v>711.16</v>
      </c>
      <c r="Q42" s="2">
        <v>1271595752</v>
      </c>
      <c r="R42" s="2" t="s">
        <v>1101</v>
      </c>
      <c r="S42" s="2" t="s">
        <v>993</v>
      </c>
      <c r="T42" s="2">
        <v>125</v>
      </c>
      <c r="U42" s="2" t="s">
        <v>51</v>
      </c>
      <c r="V42" s="2" t="s">
        <v>1102</v>
      </c>
      <c r="W42" s="5">
        <f>IF(I42="","",DATE(2000+MID(I42,8,2),MATCH(MID(I42,4,3),{"Jan","Feb","Mar","Apr","May","Jun","Jul","Aug","Sep","Oct","Nov","Dec"},0),1))</f>
        <v>46082</v>
      </c>
      <c r="X42" s="2">
        <f t="shared" si="0"/>
        <v>2415</v>
      </c>
      <c r="Y42" s="2">
        <f t="shared" si="1"/>
        <v>2211</v>
      </c>
    </row>
    <row r="43" spans="1:25" x14ac:dyDescent="0.25">
      <c r="A43" s="2" t="s">
        <v>21</v>
      </c>
      <c r="B43" s="2" t="s">
        <v>72</v>
      </c>
      <c r="C43" s="2" t="s">
        <v>349</v>
      </c>
      <c r="D43" s="2" t="s">
        <v>132</v>
      </c>
      <c r="E43" s="2" t="s">
        <v>1058</v>
      </c>
      <c r="F43" s="2" t="s">
        <v>1059</v>
      </c>
      <c r="G43" s="2" t="s">
        <v>42</v>
      </c>
      <c r="H43" s="2" t="s">
        <v>1060</v>
      </c>
      <c r="I43" s="2" t="s">
        <v>1128</v>
      </c>
      <c r="J43" s="2" t="s">
        <v>1129</v>
      </c>
      <c r="K43" s="2" t="s">
        <v>31</v>
      </c>
      <c r="L43" s="2" t="s">
        <v>1130</v>
      </c>
      <c r="M43" s="2" t="s">
        <v>33</v>
      </c>
      <c r="N43" s="2" t="s">
        <v>34</v>
      </c>
      <c r="O43" s="2" t="s">
        <v>35</v>
      </c>
      <c r="P43" s="3">
        <v>376.47</v>
      </c>
      <c r="Q43" s="2">
        <v>1271599660</v>
      </c>
      <c r="R43" s="2" t="s">
        <v>1131</v>
      </c>
      <c r="S43" s="2" t="s">
        <v>993</v>
      </c>
      <c r="T43" s="2">
        <v>125</v>
      </c>
      <c r="U43" s="2" t="s">
        <v>119</v>
      </c>
      <c r="V43" s="2" t="s">
        <v>1132</v>
      </c>
      <c r="W43" s="5">
        <f>IF(I43="","",DATE(2000+MID(I43,8,2),MATCH(MID(I43,4,3),{"Jan","Feb","Mar","Apr","May","Jun","Jul","Aug","Sep","Oct","Nov","Dec"},0),1))</f>
        <v>46082</v>
      </c>
      <c r="X43" s="2">
        <f t="shared" si="0"/>
        <v>1425</v>
      </c>
      <c r="Y43" s="2">
        <f t="shared" si="1"/>
        <v>445</v>
      </c>
    </row>
    <row r="44" spans="1:25" x14ac:dyDescent="0.25">
      <c r="A44" s="2" t="s">
        <v>21</v>
      </c>
      <c r="B44" s="2" t="s">
        <v>72</v>
      </c>
      <c r="C44" s="2" t="s">
        <v>349</v>
      </c>
      <c r="D44" s="2" t="s">
        <v>132</v>
      </c>
      <c r="E44" s="2" t="s">
        <v>1041</v>
      </c>
      <c r="F44" s="2" t="s">
        <v>1042</v>
      </c>
      <c r="G44" s="2" t="s">
        <v>42</v>
      </c>
      <c r="H44" s="2" t="s">
        <v>56</v>
      </c>
      <c r="I44" s="2" t="s">
        <v>1043</v>
      </c>
      <c r="J44" s="2" t="s">
        <v>1044</v>
      </c>
      <c r="K44" s="2" t="s">
        <v>31</v>
      </c>
      <c r="L44" s="2" t="s">
        <v>1045</v>
      </c>
      <c r="M44" s="2" t="s">
        <v>33</v>
      </c>
      <c r="N44" s="2" t="s">
        <v>34</v>
      </c>
      <c r="O44" s="2" t="s">
        <v>35</v>
      </c>
      <c r="P44" s="3">
        <v>151.72</v>
      </c>
      <c r="Q44" s="2">
        <v>1271595811</v>
      </c>
      <c r="R44" s="2" t="s">
        <v>1046</v>
      </c>
      <c r="S44" s="2" t="s">
        <v>1047</v>
      </c>
      <c r="T44" s="2">
        <v>125</v>
      </c>
      <c r="U44" s="2" t="s">
        <v>38</v>
      </c>
      <c r="V44" s="2" t="s">
        <v>1048</v>
      </c>
      <c r="W44" s="5">
        <f>IF(I44="","",DATE(2000+MID(I44,8,2),MATCH(MID(I44,4,3),{"Jan","Feb","Mar","Apr","May","Jun","Jul","Aug","Sep","Oct","Nov","Dec"},0),1))</f>
        <v>46054</v>
      </c>
      <c r="X44" s="2">
        <f t="shared" si="0"/>
        <v>345</v>
      </c>
      <c r="Y44" s="2">
        <f t="shared" si="1"/>
        <v>344</v>
      </c>
    </row>
    <row r="45" spans="1:25" x14ac:dyDescent="0.25">
      <c r="A45" s="2" t="s">
        <v>21</v>
      </c>
      <c r="B45" s="2" t="s">
        <v>72</v>
      </c>
      <c r="C45" s="2" t="s">
        <v>349</v>
      </c>
      <c r="D45" s="2" t="s">
        <v>132</v>
      </c>
      <c r="E45" s="2" t="s">
        <v>365</v>
      </c>
      <c r="F45" s="2" t="s">
        <v>366</v>
      </c>
      <c r="G45" s="2" t="s">
        <v>367</v>
      </c>
      <c r="H45" s="2" t="s">
        <v>199</v>
      </c>
      <c r="I45" s="2" t="s">
        <v>962</v>
      </c>
      <c r="J45" s="2" t="s">
        <v>971</v>
      </c>
      <c r="K45" s="2" t="s">
        <v>31</v>
      </c>
      <c r="L45" s="2" t="s">
        <v>995</v>
      </c>
      <c r="M45" s="2" t="s">
        <v>33</v>
      </c>
      <c r="N45" s="2" t="s">
        <v>34</v>
      </c>
      <c r="O45" s="2" t="s">
        <v>35</v>
      </c>
      <c r="P45" s="3">
        <v>728.62</v>
      </c>
      <c r="Q45" s="2">
        <v>1271509428</v>
      </c>
      <c r="R45" s="2" t="s">
        <v>996</v>
      </c>
      <c r="S45" s="2" t="s">
        <v>997</v>
      </c>
      <c r="T45" s="2">
        <v>125</v>
      </c>
      <c r="U45" s="2" t="s">
        <v>188</v>
      </c>
      <c r="V45" s="2" t="s">
        <v>979</v>
      </c>
      <c r="W45" s="5">
        <f>IF(I45="","",DATE(2000+MID(I45,8,2),MATCH(MID(I45,4,3),{"Jan","Feb","Mar","Apr","May","Jun","Jul","Aug","Sep","Oct","Nov","Dec"},0),1))</f>
        <v>46054</v>
      </c>
      <c r="X45" s="2">
        <f t="shared" si="0"/>
        <v>2695</v>
      </c>
      <c r="Y45" s="2">
        <f t="shared" si="1"/>
        <v>603</v>
      </c>
    </row>
    <row r="46" spans="1:25" x14ac:dyDescent="0.25">
      <c r="A46" s="2" t="s">
        <v>21</v>
      </c>
      <c r="B46" s="2" t="s">
        <v>72</v>
      </c>
      <c r="C46" s="2" t="s">
        <v>349</v>
      </c>
      <c r="D46" s="2" t="s">
        <v>132</v>
      </c>
      <c r="E46" s="2" t="s">
        <v>1023</v>
      </c>
      <c r="F46" s="2" t="s">
        <v>1024</v>
      </c>
      <c r="G46" s="2" t="s">
        <v>725</v>
      </c>
      <c r="H46" s="2" t="s">
        <v>1025</v>
      </c>
      <c r="I46" s="2" t="s">
        <v>1026</v>
      </c>
      <c r="J46" s="2" t="s">
        <v>1027</v>
      </c>
      <c r="K46" s="2" t="s">
        <v>31</v>
      </c>
      <c r="L46" s="2" t="s">
        <v>976</v>
      </c>
      <c r="M46" s="2" t="s">
        <v>33</v>
      </c>
      <c r="N46" s="2" t="s">
        <v>34</v>
      </c>
      <c r="O46" s="2" t="s">
        <v>35</v>
      </c>
      <c r="P46" s="3">
        <v>790.75</v>
      </c>
      <c r="Q46" s="2">
        <v>1271548648</v>
      </c>
      <c r="R46" s="2" t="s">
        <v>1028</v>
      </c>
      <c r="S46" s="2" t="s">
        <v>1029</v>
      </c>
      <c r="T46" s="2">
        <v>125</v>
      </c>
      <c r="U46" s="2" t="s">
        <v>51</v>
      </c>
      <c r="V46" s="2" t="s">
        <v>1030</v>
      </c>
      <c r="W46" s="5">
        <f>IF(I46="","",DATE(2000+MID(I46,8,2),MATCH(MID(I46,4,3),{"Jan","Feb","Mar","Apr","May","Jun","Jul","Aug","Sep","Oct","Nov","Dec"},0),1))</f>
        <v>46054</v>
      </c>
      <c r="X46" s="2">
        <f t="shared" si="0"/>
        <v>2415</v>
      </c>
      <c r="Y46" s="2">
        <f t="shared" si="1"/>
        <v>2146</v>
      </c>
    </row>
    <row r="47" spans="1:25" x14ac:dyDescent="0.25">
      <c r="A47" s="2" t="s">
        <v>21</v>
      </c>
      <c r="B47" s="2" t="s">
        <v>72</v>
      </c>
      <c r="C47" s="2" t="s">
        <v>349</v>
      </c>
      <c r="D47" s="2" t="s">
        <v>132</v>
      </c>
      <c r="E47" s="2" t="s">
        <v>998</v>
      </c>
      <c r="F47" s="2" t="s">
        <v>999</v>
      </c>
      <c r="G47" s="2" t="s">
        <v>1000</v>
      </c>
      <c r="H47" s="2" t="s">
        <v>1001</v>
      </c>
      <c r="I47" s="2" t="s">
        <v>1002</v>
      </c>
      <c r="J47" s="2" t="s">
        <v>1003</v>
      </c>
      <c r="K47" s="2" t="s">
        <v>31</v>
      </c>
      <c r="L47" s="2" t="s">
        <v>1004</v>
      </c>
      <c r="M47" s="2" t="s">
        <v>33</v>
      </c>
      <c r="N47" s="2" t="s">
        <v>34</v>
      </c>
      <c r="O47" s="2" t="s">
        <v>35</v>
      </c>
      <c r="P47" s="3">
        <v>642.57000000000005</v>
      </c>
      <c r="Q47" s="2">
        <v>1271596467</v>
      </c>
      <c r="R47" s="2" t="s">
        <v>1005</v>
      </c>
      <c r="S47" s="2" t="s">
        <v>1006</v>
      </c>
      <c r="T47" s="2">
        <v>125</v>
      </c>
      <c r="U47" s="2" t="s">
        <v>119</v>
      </c>
      <c r="V47" s="2" t="s">
        <v>1007</v>
      </c>
      <c r="W47" s="5">
        <f>IF(I47="","",DATE(2000+MID(I47,8,2),MATCH(MID(I47,4,3),{"Jan","Feb","Mar","Apr","May","Jun","Jul","Aug","Sep","Oct","Nov","Dec"},0),1))</f>
        <v>46054</v>
      </c>
      <c r="X47" s="2">
        <f t="shared" si="0"/>
        <v>1610</v>
      </c>
      <c r="Y47" s="2">
        <f t="shared" si="1"/>
        <v>2211</v>
      </c>
    </row>
    <row r="48" spans="1:25" x14ac:dyDescent="0.25">
      <c r="A48" s="2" t="s">
        <v>21</v>
      </c>
      <c r="B48" s="2" t="s">
        <v>72</v>
      </c>
      <c r="C48" s="2" t="s">
        <v>349</v>
      </c>
      <c r="D48" s="2" t="s">
        <v>132</v>
      </c>
      <c r="E48" s="2" t="s">
        <v>380</v>
      </c>
      <c r="F48" s="2" t="s">
        <v>381</v>
      </c>
      <c r="G48" s="2" t="s">
        <v>382</v>
      </c>
      <c r="H48" s="2" t="s">
        <v>383</v>
      </c>
      <c r="I48" s="2" t="s">
        <v>962</v>
      </c>
      <c r="J48" s="2" t="s">
        <v>975</v>
      </c>
      <c r="K48" s="2" t="s">
        <v>31</v>
      </c>
      <c r="L48" s="2" t="s">
        <v>976</v>
      </c>
      <c r="M48" s="2" t="s">
        <v>33</v>
      </c>
      <c r="N48" s="2" t="s">
        <v>34</v>
      </c>
      <c r="O48" s="2" t="s">
        <v>35</v>
      </c>
      <c r="P48" s="3">
        <v>247.75</v>
      </c>
      <c r="Q48" s="2">
        <v>1271509427</v>
      </c>
      <c r="R48" s="2" t="s">
        <v>977</v>
      </c>
      <c r="S48" s="2" t="s">
        <v>978</v>
      </c>
      <c r="T48" s="2">
        <v>125</v>
      </c>
      <c r="U48" s="2" t="s">
        <v>51</v>
      </c>
      <c r="V48" s="2" t="s">
        <v>979</v>
      </c>
      <c r="W48" s="5">
        <f>IF(I48="","",DATE(2000+MID(I48,8,2),MATCH(MID(I48,4,3),{"Jan","Feb","Mar","Apr","May","Jun","Jul","Aug","Sep","Oct","Nov","Dec"},0),1))</f>
        <v>46054</v>
      </c>
      <c r="X48" s="2">
        <f t="shared" si="0"/>
        <v>2415</v>
      </c>
      <c r="Y48" s="2">
        <f t="shared" si="1"/>
        <v>269</v>
      </c>
    </row>
    <row r="49" spans="1:25" x14ac:dyDescent="0.25">
      <c r="A49" s="2" t="s">
        <v>21</v>
      </c>
      <c r="B49" s="2" t="s">
        <v>72</v>
      </c>
      <c r="C49" s="2" t="s">
        <v>349</v>
      </c>
      <c r="D49" s="2" t="s">
        <v>132</v>
      </c>
      <c r="E49" s="2" t="s">
        <v>1031</v>
      </c>
      <c r="F49" s="2" t="s">
        <v>1032</v>
      </c>
      <c r="G49" s="2" t="s">
        <v>725</v>
      </c>
      <c r="H49" s="2" t="s">
        <v>1033</v>
      </c>
      <c r="I49" s="2" t="s">
        <v>1026</v>
      </c>
      <c r="J49" s="2" t="s">
        <v>1027</v>
      </c>
      <c r="K49" s="2" t="s">
        <v>31</v>
      </c>
      <c r="L49" s="2" t="s">
        <v>1034</v>
      </c>
      <c r="M49" s="2" t="s">
        <v>33</v>
      </c>
      <c r="N49" s="2" t="s">
        <v>34</v>
      </c>
      <c r="O49" s="2" t="s">
        <v>35</v>
      </c>
      <c r="P49" s="3">
        <v>1092.23</v>
      </c>
      <c r="Q49" s="2">
        <v>1271548646</v>
      </c>
      <c r="R49" s="2" t="s">
        <v>1035</v>
      </c>
      <c r="S49" s="2" t="s">
        <v>1036</v>
      </c>
      <c r="T49" s="2">
        <v>125</v>
      </c>
      <c r="U49" s="2" t="s">
        <v>182</v>
      </c>
      <c r="V49" s="2" t="s">
        <v>1030</v>
      </c>
      <c r="W49" s="5">
        <f>IF(I49="","",DATE(2000+MID(I49,8,2),MATCH(MID(I49,4,3),{"Jan","Feb","Mar","Apr","May","Jun","Jul","Aug","Sep","Oct","Nov","Dec"},0),1))</f>
        <v>46054</v>
      </c>
      <c r="X49" s="2">
        <f t="shared" si="0"/>
        <v>4025</v>
      </c>
      <c r="Y49" s="2">
        <f t="shared" si="1"/>
        <v>2098</v>
      </c>
    </row>
    <row r="50" spans="1:25" x14ac:dyDescent="0.25">
      <c r="A50" s="2" t="s">
        <v>21</v>
      </c>
      <c r="B50" s="2" t="s">
        <v>72</v>
      </c>
      <c r="C50" s="2" t="s">
        <v>349</v>
      </c>
      <c r="D50" s="2" t="s">
        <v>132</v>
      </c>
      <c r="E50" s="2" t="s">
        <v>1058</v>
      </c>
      <c r="F50" s="2" t="s">
        <v>1059</v>
      </c>
      <c r="G50" s="2" t="s">
        <v>42</v>
      </c>
      <c r="H50" s="2" t="s">
        <v>1060</v>
      </c>
      <c r="I50" s="2" t="s">
        <v>1043</v>
      </c>
      <c r="J50" s="2" t="s">
        <v>1061</v>
      </c>
      <c r="K50" s="2" t="s">
        <v>31</v>
      </c>
      <c r="L50" s="2" t="s">
        <v>1062</v>
      </c>
      <c r="M50" s="2" t="s">
        <v>33</v>
      </c>
      <c r="N50" s="2" t="s">
        <v>34</v>
      </c>
      <c r="O50" s="2" t="s">
        <v>35</v>
      </c>
      <c r="P50" s="3">
        <v>363.33</v>
      </c>
      <c r="Q50" s="2">
        <v>1271595812</v>
      </c>
      <c r="R50" s="2" t="s">
        <v>1063</v>
      </c>
      <c r="S50" s="2" t="s">
        <v>1064</v>
      </c>
      <c r="T50" s="2">
        <v>125</v>
      </c>
      <c r="U50" s="2" t="s">
        <v>38</v>
      </c>
      <c r="V50" s="2" t="s">
        <v>1065</v>
      </c>
      <c r="W50" s="5">
        <f>IF(I50="","",DATE(2000+MID(I50,8,2),MATCH(MID(I50,4,3),{"Jan","Feb","Mar","Apr","May","Jun","Jul","Aug","Sep","Oct","Nov","Dec"},0),1))</f>
        <v>46054</v>
      </c>
      <c r="X50" s="2">
        <f t="shared" si="0"/>
        <v>1460</v>
      </c>
      <c r="Y50" s="2">
        <f t="shared" si="1"/>
        <v>445</v>
      </c>
    </row>
    <row r="51" spans="1:25" x14ac:dyDescent="0.25">
      <c r="A51" s="2" t="s">
        <v>21</v>
      </c>
      <c r="B51" s="2" t="s">
        <v>762</v>
      </c>
      <c r="C51" s="2" t="s">
        <v>763</v>
      </c>
      <c r="D51" s="2" t="s">
        <v>98</v>
      </c>
      <c r="E51" s="2" t="s">
        <v>764</v>
      </c>
      <c r="F51" s="2" t="s">
        <v>765</v>
      </c>
      <c r="G51" s="2" t="s">
        <v>111</v>
      </c>
      <c r="H51" s="2" t="s">
        <v>766</v>
      </c>
      <c r="I51" s="2" t="s">
        <v>1207</v>
      </c>
      <c r="J51" s="2" t="s">
        <v>1208</v>
      </c>
      <c r="K51" s="2" t="s">
        <v>31</v>
      </c>
      <c r="L51" s="2" t="s">
        <v>768</v>
      </c>
      <c r="M51" s="2" t="s">
        <v>33</v>
      </c>
      <c r="N51" s="2" t="s">
        <v>34</v>
      </c>
      <c r="O51" s="2" t="s">
        <v>35</v>
      </c>
      <c r="P51" s="3">
        <v>371.3</v>
      </c>
      <c r="R51" s="2" t="s">
        <v>1209</v>
      </c>
      <c r="S51" s="2" t="s">
        <v>1210</v>
      </c>
      <c r="T51" s="2">
        <v>65</v>
      </c>
      <c r="U51" s="2" t="s">
        <v>188</v>
      </c>
      <c r="W51" s="5">
        <f>IF(I51="","",DATE(2000+MID(I51,8,2),MATCH(MID(I51,4,3),{"Jan","Feb","Mar","Apr","May","Jun","Jul","Aug","Sep","Oct","Nov","Dec"},0),1))</f>
        <v>46082</v>
      </c>
      <c r="X51" s="2">
        <f t="shared" si="0"/>
        <v>2976</v>
      </c>
      <c r="Y51" s="2">
        <f t="shared" si="1"/>
        <v>441</v>
      </c>
    </row>
    <row r="52" spans="1:25" x14ac:dyDescent="0.25">
      <c r="A52" s="2" t="s">
        <v>21</v>
      </c>
      <c r="B52" s="2" t="s">
        <v>72</v>
      </c>
      <c r="C52" s="2" t="s">
        <v>349</v>
      </c>
      <c r="D52" s="2" t="s">
        <v>132</v>
      </c>
      <c r="E52" s="2" t="s">
        <v>374</v>
      </c>
      <c r="F52" s="2" t="s">
        <v>375</v>
      </c>
      <c r="G52" s="2" t="s">
        <v>42</v>
      </c>
      <c r="H52" s="2" t="s">
        <v>376</v>
      </c>
      <c r="I52" s="2" t="s">
        <v>200</v>
      </c>
      <c r="J52" s="2" t="s">
        <v>201</v>
      </c>
      <c r="K52" s="2" t="s">
        <v>31</v>
      </c>
      <c r="L52" s="2" t="s">
        <v>377</v>
      </c>
      <c r="M52" s="2" t="s">
        <v>33</v>
      </c>
      <c r="N52" s="2" t="s">
        <v>34</v>
      </c>
      <c r="O52" s="2" t="s">
        <v>35</v>
      </c>
      <c r="P52" s="3">
        <v>583.61</v>
      </c>
      <c r="Q52" s="2">
        <v>1271546502</v>
      </c>
      <c r="R52" s="2" t="s">
        <v>370</v>
      </c>
      <c r="S52" s="2" t="s">
        <v>378</v>
      </c>
      <c r="T52" s="2">
        <v>65</v>
      </c>
      <c r="U52" s="2" t="s">
        <v>358</v>
      </c>
      <c r="V52" s="2" t="s">
        <v>379</v>
      </c>
      <c r="W52" s="5">
        <f>IF(I52="","",DATE(2000+MID(I52,8,2),MATCH(MID(I52,4,3),{"Jan","Feb","Mar","Apr","May","Jun","Jul","Aug","Sep","Oct","Nov","Dec"},0),1))</f>
        <v>45962</v>
      </c>
      <c r="X52" s="2">
        <f t="shared" si="0"/>
        <v>2880.01</v>
      </c>
      <c r="Y52" s="2">
        <f t="shared" si="1"/>
        <v>367</v>
      </c>
    </row>
    <row r="53" spans="1:25" x14ac:dyDescent="0.25">
      <c r="A53" s="2" t="s">
        <v>21</v>
      </c>
      <c r="B53" s="2" t="s">
        <v>753</v>
      </c>
      <c r="C53" s="2" t="s">
        <v>754</v>
      </c>
      <c r="D53" s="2" t="s">
        <v>74</v>
      </c>
      <c r="E53" s="2" t="s">
        <v>1291</v>
      </c>
      <c r="F53" s="2" t="s">
        <v>950</v>
      </c>
      <c r="G53" s="2" t="s">
        <v>74</v>
      </c>
      <c r="H53" s="2" t="s">
        <v>143</v>
      </c>
      <c r="I53" s="2" t="s">
        <v>1292</v>
      </c>
      <c r="J53" s="2" t="s">
        <v>1293</v>
      </c>
      <c r="K53" s="2" t="s">
        <v>31</v>
      </c>
      <c r="L53" s="2" t="s">
        <v>1294</v>
      </c>
      <c r="M53" s="2" t="s">
        <v>33</v>
      </c>
      <c r="N53" s="2" t="s">
        <v>34</v>
      </c>
      <c r="O53" s="2" t="s">
        <v>35</v>
      </c>
      <c r="P53" s="3">
        <v>150.80000000000001</v>
      </c>
      <c r="R53" s="2" t="s">
        <v>1295</v>
      </c>
      <c r="S53" s="2" t="s">
        <v>1296</v>
      </c>
      <c r="T53" s="2">
        <v>65</v>
      </c>
      <c r="U53" s="2" t="s">
        <v>38</v>
      </c>
      <c r="W53" s="5">
        <f>IF(I53="","",DATE(2000+MID(I53,8,2),MATCH(MID(I53,4,3),{"Jan","Feb","Mar","Apr","May","Jun","Jul","Aug","Sep","Oct","Nov","Dec"},0),1))</f>
        <v>46082</v>
      </c>
      <c r="X53" s="2">
        <f t="shared" si="0"/>
        <v>554.4</v>
      </c>
      <c r="Y53" s="2">
        <f t="shared" si="1"/>
        <v>268</v>
      </c>
    </row>
    <row r="54" spans="1:25" x14ac:dyDescent="0.25">
      <c r="A54" s="2" t="s">
        <v>21</v>
      </c>
      <c r="B54" s="2" t="s">
        <v>72</v>
      </c>
      <c r="C54" s="2" t="s">
        <v>349</v>
      </c>
      <c r="D54" s="2" t="s">
        <v>132</v>
      </c>
      <c r="E54" s="2" t="s">
        <v>365</v>
      </c>
      <c r="F54" s="2" t="s">
        <v>366</v>
      </c>
      <c r="G54" s="2" t="s">
        <v>367</v>
      </c>
      <c r="H54" s="2" t="s">
        <v>199</v>
      </c>
      <c r="I54" s="2" t="s">
        <v>353</v>
      </c>
      <c r="J54" s="2" t="s">
        <v>368</v>
      </c>
      <c r="K54" s="2" t="s">
        <v>31</v>
      </c>
      <c r="L54" s="2" t="s">
        <v>369</v>
      </c>
      <c r="M54" s="2" t="s">
        <v>33</v>
      </c>
      <c r="N54" s="2" t="s">
        <v>34</v>
      </c>
      <c r="O54" s="2" t="s">
        <v>35</v>
      </c>
      <c r="P54" s="3">
        <v>991.77</v>
      </c>
      <c r="Q54" s="2">
        <v>1271546503</v>
      </c>
      <c r="R54" s="2" t="s">
        <v>370</v>
      </c>
      <c r="S54" s="2" t="s">
        <v>371</v>
      </c>
      <c r="T54" s="2">
        <v>65</v>
      </c>
      <c r="U54" s="2" t="s">
        <v>372</v>
      </c>
      <c r="V54" s="2" t="s">
        <v>373</v>
      </c>
      <c r="W54" s="5">
        <f>IF(I54="","",DATE(2000+MID(I54,8,2),MATCH(MID(I54,4,3),{"Jan","Feb","Mar","Apr","May","Jun","Jul","Aug","Sep","Oct","Nov","Dec"},0),1))</f>
        <v>45962</v>
      </c>
      <c r="X54" s="2">
        <f t="shared" si="0"/>
        <v>4457.03</v>
      </c>
      <c r="Y54" s="2">
        <f t="shared" si="1"/>
        <v>603</v>
      </c>
    </row>
    <row r="55" spans="1:25" x14ac:dyDescent="0.25">
      <c r="A55" s="2" t="s">
        <v>21</v>
      </c>
      <c r="B55" s="2" t="s">
        <v>261</v>
      </c>
      <c r="C55" s="2" t="s">
        <v>262</v>
      </c>
      <c r="D55" s="2" t="s">
        <v>263</v>
      </c>
      <c r="E55" s="2" t="s">
        <v>86</v>
      </c>
      <c r="F55" s="2" t="s">
        <v>87</v>
      </c>
      <c r="G55" s="2" t="s">
        <v>88</v>
      </c>
      <c r="H55" s="2" t="s">
        <v>667</v>
      </c>
      <c r="I55" s="2" t="s">
        <v>668</v>
      </c>
      <c r="J55" s="2" t="s">
        <v>669</v>
      </c>
      <c r="K55" s="2" t="s">
        <v>31</v>
      </c>
      <c r="L55" s="2" t="s">
        <v>670</v>
      </c>
      <c r="M55" s="2" t="s">
        <v>33</v>
      </c>
      <c r="N55" s="2" t="s">
        <v>34</v>
      </c>
      <c r="O55" s="2" t="s">
        <v>35</v>
      </c>
      <c r="P55" s="3">
        <v>409.67</v>
      </c>
      <c r="Q55" s="2">
        <v>1510196676</v>
      </c>
      <c r="R55" s="2" t="s">
        <v>671</v>
      </c>
      <c r="S55" s="2" t="s">
        <v>672</v>
      </c>
      <c r="T55" s="2">
        <v>65</v>
      </c>
      <c r="U55" s="2" t="s">
        <v>38</v>
      </c>
      <c r="V55" s="2" t="s">
        <v>673</v>
      </c>
      <c r="W55" s="5">
        <f>IF(I55="","",DATE(2000+MID(I55,8,2),MATCH(MID(I55,4,3),{"Jan","Feb","Mar","Apr","May","Jun","Jul","Aug","Sep","Oct","Nov","Dec"},0),1))</f>
        <v>46023</v>
      </c>
      <c r="X55" s="2">
        <f t="shared" si="0"/>
        <v>2000</v>
      </c>
      <c r="Y55" s="2">
        <f t="shared" si="1"/>
        <v>621</v>
      </c>
    </row>
    <row r="56" spans="1:25" x14ac:dyDescent="0.25">
      <c r="A56" s="2" t="s">
        <v>21</v>
      </c>
      <c r="B56" s="2" t="s">
        <v>208</v>
      </c>
      <c r="C56" s="2" t="s">
        <v>209</v>
      </c>
      <c r="D56" s="2" t="s">
        <v>111</v>
      </c>
      <c r="E56" s="2" t="s">
        <v>531</v>
      </c>
      <c r="F56" s="2" t="s">
        <v>532</v>
      </c>
      <c r="G56" s="2" t="s">
        <v>132</v>
      </c>
      <c r="H56" s="2" t="s">
        <v>352</v>
      </c>
      <c r="I56" s="2" t="s">
        <v>533</v>
      </c>
      <c r="J56" s="2" t="s">
        <v>534</v>
      </c>
      <c r="K56" s="2" t="s">
        <v>31</v>
      </c>
      <c r="L56" s="2" t="s">
        <v>535</v>
      </c>
      <c r="M56" s="2" t="s">
        <v>33</v>
      </c>
      <c r="N56" s="2" t="s">
        <v>34</v>
      </c>
      <c r="O56" s="2" t="s">
        <v>35</v>
      </c>
      <c r="P56" s="3">
        <v>383.67</v>
      </c>
      <c r="R56" s="2" t="s">
        <v>536</v>
      </c>
      <c r="S56" s="2" t="s">
        <v>537</v>
      </c>
      <c r="T56" s="2">
        <v>65</v>
      </c>
      <c r="U56" s="2" t="s">
        <v>38</v>
      </c>
      <c r="W56" s="5">
        <f>IF(I56="","",DATE(2000+MID(I56,8,2),MATCH(MID(I56,4,3),{"Jan","Feb","Mar","Apr","May","Jun","Jul","Aug","Sep","Oct","Nov","Dec"},0),1))</f>
        <v>46023</v>
      </c>
      <c r="X56" s="2">
        <f t="shared" si="0"/>
        <v>2500</v>
      </c>
      <c r="Y56" s="2">
        <f t="shared" si="1"/>
        <v>608</v>
      </c>
    </row>
    <row r="57" spans="1:25" x14ac:dyDescent="0.25">
      <c r="A57" s="2" t="s">
        <v>21</v>
      </c>
      <c r="B57" s="2" t="s">
        <v>72</v>
      </c>
      <c r="C57" s="2" t="s">
        <v>349</v>
      </c>
      <c r="D57" s="2" t="s">
        <v>132</v>
      </c>
      <c r="E57" s="2" t="s">
        <v>380</v>
      </c>
      <c r="F57" s="2" t="s">
        <v>381</v>
      </c>
      <c r="G57" s="2" t="s">
        <v>382</v>
      </c>
      <c r="H57" s="2" t="s">
        <v>383</v>
      </c>
      <c r="I57" s="2" t="s">
        <v>353</v>
      </c>
      <c r="J57" s="2" t="s">
        <v>201</v>
      </c>
      <c r="K57" s="2" t="s">
        <v>31</v>
      </c>
      <c r="L57" s="2" t="s">
        <v>384</v>
      </c>
      <c r="M57" s="2" t="s">
        <v>33</v>
      </c>
      <c r="N57" s="2" t="s">
        <v>34</v>
      </c>
      <c r="O57" s="2" t="s">
        <v>35</v>
      </c>
      <c r="P57" s="3">
        <v>531.91999999999996</v>
      </c>
      <c r="Q57" s="2">
        <v>1271563393</v>
      </c>
      <c r="R57" s="2" t="s">
        <v>370</v>
      </c>
      <c r="S57" s="2" t="s">
        <v>385</v>
      </c>
      <c r="T57" s="2">
        <v>65</v>
      </c>
      <c r="U57" s="2" t="s">
        <v>372</v>
      </c>
      <c r="V57" s="2" t="s">
        <v>386</v>
      </c>
      <c r="W57" s="5">
        <f>IF(I57="","",DATE(2000+MID(I57,8,2),MATCH(MID(I57,4,3),{"Jan","Feb","Mar","Apr","May","Jun","Jul","Aug","Sep","Oct","Nov","Dec"},0),1))</f>
        <v>45962</v>
      </c>
      <c r="X57" s="2">
        <f t="shared" si="0"/>
        <v>4765</v>
      </c>
      <c r="Y57" s="2">
        <f t="shared" si="1"/>
        <v>269</v>
      </c>
    </row>
    <row r="58" spans="1:25" x14ac:dyDescent="0.25">
      <c r="A58" s="2" t="s">
        <v>21</v>
      </c>
      <c r="B58" s="2" t="s">
        <v>949</v>
      </c>
      <c r="C58" s="2" t="s">
        <v>950</v>
      </c>
      <c r="D58" s="2" t="s">
        <v>74</v>
      </c>
      <c r="E58" s="2" t="s">
        <v>753</v>
      </c>
      <c r="F58" s="2" t="s">
        <v>754</v>
      </c>
      <c r="G58" s="2" t="s">
        <v>74</v>
      </c>
      <c r="H58" s="2" t="s">
        <v>143</v>
      </c>
      <c r="I58" s="2" t="s">
        <v>951</v>
      </c>
      <c r="J58" s="2" t="s">
        <v>898</v>
      </c>
      <c r="K58" s="2" t="s">
        <v>31</v>
      </c>
      <c r="L58" s="2" t="s">
        <v>885</v>
      </c>
      <c r="M58" s="2" t="s">
        <v>33</v>
      </c>
      <c r="N58" s="2" t="s">
        <v>34</v>
      </c>
      <c r="O58" s="2" t="s">
        <v>35</v>
      </c>
      <c r="P58" s="3">
        <v>130.49</v>
      </c>
      <c r="Q58" s="2">
        <v>1660570688</v>
      </c>
      <c r="R58" s="2" t="s">
        <v>952</v>
      </c>
      <c r="S58" s="2" t="s">
        <v>953</v>
      </c>
      <c r="T58" s="2">
        <v>65</v>
      </c>
      <c r="U58" s="2" t="s">
        <v>38</v>
      </c>
      <c r="V58" s="2" t="s">
        <v>954</v>
      </c>
      <c r="W58" s="5">
        <f>IF(I58="","",DATE(2000+MID(I58,8,2),MATCH(MID(I58,4,3),{"Jan","Feb","Mar","Apr","May","Jun","Jul","Aug","Sep","Oct","Nov","Dec"},0),1))</f>
        <v>46054</v>
      </c>
      <c r="X58" s="2">
        <f t="shared" si="0"/>
        <v>400</v>
      </c>
      <c r="Y58" s="2">
        <f t="shared" si="1"/>
        <v>268</v>
      </c>
    </row>
    <row r="59" spans="1:25" x14ac:dyDescent="0.25">
      <c r="A59" s="2" t="s">
        <v>21</v>
      </c>
      <c r="B59" s="2" t="s">
        <v>43</v>
      </c>
      <c r="C59" s="2" t="s">
        <v>44</v>
      </c>
      <c r="D59" s="2" t="s">
        <v>24</v>
      </c>
      <c r="E59" s="2" t="s">
        <v>261</v>
      </c>
      <c r="F59" s="2" t="s">
        <v>262</v>
      </c>
      <c r="G59" s="2" t="s">
        <v>263</v>
      </c>
      <c r="H59" s="2" t="s">
        <v>735</v>
      </c>
      <c r="I59" s="2" t="s">
        <v>836</v>
      </c>
      <c r="J59" s="2" t="s">
        <v>855</v>
      </c>
      <c r="K59" s="2" t="s">
        <v>31</v>
      </c>
      <c r="L59" s="2" t="s">
        <v>856</v>
      </c>
      <c r="M59" s="2" t="s">
        <v>33</v>
      </c>
      <c r="N59" s="2" t="s">
        <v>34</v>
      </c>
      <c r="O59" s="2" t="s">
        <v>35</v>
      </c>
      <c r="P59" s="3">
        <v>711.16</v>
      </c>
      <c r="Q59" s="2">
        <v>1080246109</v>
      </c>
      <c r="R59" s="2" t="s">
        <v>857</v>
      </c>
      <c r="S59" s="2" t="s">
        <v>858</v>
      </c>
      <c r="T59" s="2">
        <v>65</v>
      </c>
      <c r="U59" s="2" t="s">
        <v>259</v>
      </c>
      <c r="V59" s="2" t="s">
        <v>859</v>
      </c>
      <c r="W59" s="5">
        <f>IF(I59="","",DATE(2000+MID(I59,8,2),MATCH(MID(I59,4,3),{"Jan","Feb","Mar","Apr","May","Jun","Jul","Aug","Sep","Oct","Nov","Dec"},0),1))</f>
        <v>46054</v>
      </c>
      <c r="X59" s="2">
        <f t="shared" si="0"/>
        <v>3092.27</v>
      </c>
      <c r="Y59" s="2">
        <f t="shared" si="1"/>
        <v>634</v>
      </c>
    </row>
    <row r="60" spans="1:25" x14ac:dyDescent="0.25">
      <c r="A60" s="2" t="s">
        <v>21</v>
      </c>
      <c r="B60" s="2" t="s">
        <v>40</v>
      </c>
      <c r="C60" s="2" t="s">
        <v>41</v>
      </c>
      <c r="D60" s="2" t="s">
        <v>42</v>
      </c>
      <c r="E60" s="2" t="s">
        <v>310</v>
      </c>
      <c r="F60" s="2" t="s">
        <v>311</v>
      </c>
      <c r="G60" s="2" t="s">
        <v>135</v>
      </c>
      <c r="H60" s="2" t="s">
        <v>312</v>
      </c>
      <c r="I60" s="2" t="s">
        <v>246</v>
      </c>
      <c r="J60" s="2" t="s">
        <v>313</v>
      </c>
      <c r="K60" s="2" t="s">
        <v>31</v>
      </c>
      <c r="L60" s="2" t="s">
        <v>314</v>
      </c>
      <c r="M60" s="2" t="s">
        <v>33</v>
      </c>
      <c r="N60" s="2" t="s">
        <v>34</v>
      </c>
      <c r="O60" s="2" t="s">
        <v>35</v>
      </c>
      <c r="P60" s="3">
        <v>257.99</v>
      </c>
      <c r="Q60" s="2">
        <v>553076779</v>
      </c>
      <c r="R60" s="2" t="s">
        <v>315</v>
      </c>
      <c r="S60" s="2" t="s">
        <v>316</v>
      </c>
      <c r="T60" s="2">
        <v>65</v>
      </c>
      <c r="U60" s="2" t="s">
        <v>119</v>
      </c>
      <c r="V60" s="2" t="s">
        <v>317</v>
      </c>
      <c r="W60" s="5">
        <f>IF(I60="","",DATE(2000+MID(I60,8,2),MATCH(MID(I60,4,3),{"Jan","Feb","Mar","Apr","May","Jun","Jul","Aug","Sep","Oct","Nov","Dec"},0),1))</f>
        <v>45962</v>
      </c>
      <c r="X60" s="2">
        <f t="shared" si="0"/>
        <v>2403.36</v>
      </c>
      <c r="Y60" s="2">
        <f t="shared" si="1"/>
        <v>339</v>
      </c>
    </row>
    <row r="61" spans="1:25" x14ac:dyDescent="0.25">
      <c r="A61" s="2" t="s">
        <v>21</v>
      </c>
      <c r="B61" s="2" t="s">
        <v>40</v>
      </c>
      <c r="C61" s="2" t="s">
        <v>41</v>
      </c>
      <c r="D61" s="2" t="s">
        <v>42</v>
      </c>
      <c r="E61" s="2" t="s">
        <v>43</v>
      </c>
      <c r="F61" s="2" t="s">
        <v>44</v>
      </c>
      <c r="G61" s="2" t="s">
        <v>24</v>
      </c>
      <c r="H61" s="2" t="s">
        <v>45</v>
      </c>
      <c r="I61" s="2" t="s">
        <v>925</v>
      </c>
      <c r="J61" s="2" t="s">
        <v>943</v>
      </c>
      <c r="K61" s="2" t="s">
        <v>31</v>
      </c>
      <c r="L61" s="2" t="s">
        <v>944</v>
      </c>
      <c r="M61" s="2" t="s">
        <v>33</v>
      </c>
      <c r="N61" s="2" t="s">
        <v>34</v>
      </c>
      <c r="O61" s="2" t="s">
        <v>35</v>
      </c>
      <c r="P61" s="3">
        <v>213.6</v>
      </c>
      <c r="Q61" s="2">
        <v>553076820</v>
      </c>
      <c r="R61" s="2" t="s">
        <v>940</v>
      </c>
      <c r="S61" s="2" t="s">
        <v>316</v>
      </c>
      <c r="T61" s="2">
        <v>65</v>
      </c>
      <c r="U61" s="2" t="s">
        <v>119</v>
      </c>
      <c r="V61" s="2" t="s">
        <v>942</v>
      </c>
      <c r="W61" s="5">
        <f>IF(I61="","",DATE(2000+MID(I61,8,2),MATCH(MID(I61,4,3),{"Jan","Feb","Mar","Apr","May","Jun","Jul","Aug","Sep","Oct","Nov","Dec"},0),1))</f>
        <v>46054</v>
      </c>
      <c r="X61" s="2">
        <f t="shared" si="0"/>
        <v>1507.2</v>
      </c>
      <c r="Y61" s="2">
        <f t="shared" si="1"/>
        <v>420</v>
      </c>
    </row>
    <row r="62" spans="1:25" x14ac:dyDescent="0.25">
      <c r="A62" s="2" t="s">
        <v>21</v>
      </c>
      <c r="B62" s="2" t="s">
        <v>825</v>
      </c>
      <c r="C62" s="2" t="s">
        <v>826</v>
      </c>
      <c r="D62" s="2" t="s">
        <v>111</v>
      </c>
      <c r="E62" s="2" t="s">
        <v>827</v>
      </c>
      <c r="F62" s="2" t="s">
        <v>828</v>
      </c>
      <c r="G62" s="2" t="s">
        <v>135</v>
      </c>
      <c r="H62" s="2" t="s">
        <v>829</v>
      </c>
      <c r="I62" s="2" t="s">
        <v>830</v>
      </c>
      <c r="J62" s="2" t="s">
        <v>831</v>
      </c>
      <c r="K62" s="2" t="s">
        <v>31</v>
      </c>
      <c r="L62" s="2" t="s">
        <v>832</v>
      </c>
      <c r="M62" s="2" t="s">
        <v>33</v>
      </c>
      <c r="N62" s="2" t="s">
        <v>34</v>
      </c>
      <c r="O62" s="2" t="s">
        <v>35</v>
      </c>
      <c r="P62" s="3">
        <v>153</v>
      </c>
      <c r="R62" s="2" t="s">
        <v>833</v>
      </c>
      <c r="S62" s="2" t="s">
        <v>834</v>
      </c>
      <c r="T62" s="2">
        <v>65</v>
      </c>
      <c r="U62" s="2" t="s">
        <v>38</v>
      </c>
      <c r="W62" s="5">
        <f>IF(I62="","",DATE(2000+MID(I62,8,2),MATCH(MID(I62,4,3),{"Jan","Feb","Mar","Apr","May","Jun","Jul","Aug","Sep","Oct","Nov","Dec"},0),1))</f>
        <v>46054</v>
      </c>
      <c r="X62" s="2">
        <f t="shared" si="0"/>
        <v>750</v>
      </c>
      <c r="Y62" s="2">
        <f t="shared" si="1"/>
        <v>452</v>
      </c>
    </row>
    <row r="63" spans="1:25" x14ac:dyDescent="0.25">
      <c r="A63" s="2" t="s">
        <v>21</v>
      </c>
      <c r="B63" s="2" t="s">
        <v>53</v>
      </c>
      <c r="C63" s="2" t="s">
        <v>54</v>
      </c>
      <c r="D63" s="2" t="s">
        <v>55</v>
      </c>
      <c r="E63" s="2" t="s">
        <v>175</v>
      </c>
      <c r="F63" s="2" t="s">
        <v>176</v>
      </c>
      <c r="G63" s="2" t="s">
        <v>111</v>
      </c>
      <c r="H63" s="2" t="s">
        <v>199</v>
      </c>
      <c r="I63" s="2" t="s">
        <v>200</v>
      </c>
      <c r="J63" s="2" t="s">
        <v>201</v>
      </c>
      <c r="K63" s="2" t="s">
        <v>31</v>
      </c>
      <c r="L63" s="2" t="s">
        <v>202</v>
      </c>
      <c r="M63" s="2" t="s">
        <v>33</v>
      </c>
      <c r="N63" s="2" t="s">
        <v>34</v>
      </c>
      <c r="O63" s="2" t="s">
        <v>35</v>
      </c>
      <c r="P63" s="3">
        <v>296.2</v>
      </c>
      <c r="Q63" s="2">
        <v>842502844</v>
      </c>
      <c r="R63" s="2" t="s">
        <v>203</v>
      </c>
      <c r="S63" s="2" t="s">
        <v>204</v>
      </c>
      <c r="T63" s="2">
        <v>65</v>
      </c>
      <c r="U63" s="2" t="s">
        <v>38</v>
      </c>
      <c r="V63" s="2" t="s">
        <v>205</v>
      </c>
      <c r="W63" s="5">
        <f>IF(I63="","",DATE(2000+MID(I63,8,2),MATCH(MID(I63,4,3),{"Jan","Feb","Mar","Apr","May","Jun","Jul","Aug","Sep","Oct","Nov","Dec"},0),1))</f>
        <v>45962</v>
      </c>
      <c r="X63" s="2">
        <f t="shared" si="0"/>
        <v>1200</v>
      </c>
      <c r="Y63" s="2">
        <f t="shared" si="1"/>
        <v>603</v>
      </c>
    </row>
    <row r="64" spans="1:25" x14ac:dyDescent="0.25">
      <c r="A64" s="2" t="s">
        <v>21</v>
      </c>
      <c r="B64" s="2" t="s">
        <v>53</v>
      </c>
      <c r="C64" s="2" t="s">
        <v>54</v>
      </c>
      <c r="D64" s="2" t="s">
        <v>55</v>
      </c>
      <c r="E64" s="2" t="s">
        <v>320</v>
      </c>
      <c r="F64" s="2" t="s">
        <v>321</v>
      </c>
      <c r="G64" s="2" t="s">
        <v>322</v>
      </c>
      <c r="H64" s="2" t="s">
        <v>473</v>
      </c>
      <c r="I64" s="2" t="s">
        <v>459</v>
      </c>
      <c r="J64" s="2" t="s">
        <v>474</v>
      </c>
      <c r="K64" s="2" t="s">
        <v>31</v>
      </c>
      <c r="L64" s="2" t="s">
        <v>202</v>
      </c>
      <c r="M64" s="2" t="s">
        <v>33</v>
      </c>
      <c r="N64" s="2" t="s">
        <v>34</v>
      </c>
      <c r="O64" s="2" t="s">
        <v>35</v>
      </c>
      <c r="P64" s="3">
        <v>306.89</v>
      </c>
      <c r="Q64" s="2">
        <v>842519756</v>
      </c>
      <c r="R64" s="2" t="s">
        <v>475</v>
      </c>
      <c r="S64" s="2" t="s">
        <v>476</v>
      </c>
      <c r="T64" s="2">
        <v>65</v>
      </c>
      <c r="U64" s="2" t="s">
        <v>38</v>
      </c>
      <c r="V64" s="2" t="s">
        <v>477</v>
      </c>
      <c r="W64" s="5">
        <f>IF(I64="","",DATE(2000+MID(I64,8,2),MATCH(MID(I64,4,3),{"Jan","Feb","Mar","Apr","May","Jun","Jul","Aug","Sep","Oct","Nov","Dec"},0),1))</f>
        <v>45992</v>
      </c>
      <c r="X64" s="2">
        <f t="shared" si="0"/>
        <v>1200</v>
      </c>
      <c r="Y64" s="2">
        <f t="shared" si="1"/>
        <v>730</v>
      </c>
    </row>
    <row r="65" spans="1:25" x14ac:dyDescent="0.25">
      <c r="A65" s="2" t="s">
        <v>21</v>
      </c>
      <c r="B65" s="2" t="s">
        <v>261</v>
      </c>
      <c r="C65" s="2" t="s">
        <v>262</v>
      </c>
      <c r="D65" s="2" t="s">
        <v>263</v>
      </c>
      <c r="E65" s="2" t="s">
        <v>175</v>
      </c>
      <c r="F65" s="2" t="s">
        <v>176</v>
      </c>
      <c r="G65" s="2" t="s">
        <v>111</v>
      </c>
      <c r="H65" s="2" t="s">
        <v>945</v>
      </c>
      <c r="I65" s="2" t="s">
        <v>946</v>
      </c>
      <c r="J65" s="2" t="s">
        <v>947</v>
      </c>
      <c r="K65" s="2" t="s">
        <v>31</v>
      </c>
      <c r="L65" s="2" t="s">
        <v>670</v>
      </c>
      <c r="M65" s="2" t="s">
        <v>33</v>
      </c>
      <c r="N65" s="2" t="s">
        <v>34</v>
      </c>
      <c r="O65" s="2" t="s">
        <v>35</v>
      </c>
      <c r="P65" s="3">
        <v>367.67</v>
      </c>
      <c r="R65" s="2" t="s">
        <v>948</v>
      </c>
      <c r="S65" s="2" t="s">
        <v>476</v>
      </c>
      <c r="T65" s="2">
        <v>65</v>
      </c>
      <c r="U65" s="2" t="s">
        <v>38</v>
      </c>
      <c r="W65" s="5">
        <f>IF(I65="","",DATE(2000+MID(I65,8,2),MATCH(MID(I65,4,3),{"Jan","Feb","Mar","Apr","May","Jun","Jul","Aug","Sep","Oct","Nov","Dec"},0),1))</f>
        <v>46082</v>
      </c>
      <c r="X65" s="2">
        <f t="shared" si="0"/>
        <v>2000</v>
      </c>
      <c r="Y65" s="2">
        <f t="shared" si="1"/>
        <v>409</v>
      </c>
    </row>
    <row r="66" spans="1:25" x14ac:dyDescent="0.25">
      <c r="A66" s="2" t="s">
        <v>21</v>
      </c>
      <c r="B66" s="2" t="s">
        <v>40</v>
      </c>
      <c r="C66" s="2" t="s">
        <v>41</v>
      </c>
      <c r="D66" s="2" t="s">
        <v>42</v>
      </c>
      <c r="E66" s="2" t="s">
        <v>550</v>
      </c>
      <c r="F66" s="2" t="s">
        <v>551</v>
      </c>
      <c r="G66" s="2" t="s">
        <v>27</v>
      </c>
      <c r="H66" s="2" t="s">
        <v>552</v>
      </c>
      <c r="I66" s="2" t="s">
        <v>1144</v>
      </c>
      <c r="J66" s="2" t="s">
        <v>1259</v>
      </c>
      <c r="K66" s="2" t="s">
        <v>31</v>
      </c>
      <c r="L66" s="2" t="s">
        <v>1260</v>
      </c>
      <c r="M66" s="2" t="s">
        <v>33</v>
      </c>
      <c r="N66" s="2" t="s">
        <v>34</v>
      </c>
      <c r="O66" s="2" t="s">
        <v>35</v>
      </c>
      <c r="P66" s="3">
        <v>625.16999999999996</v>
      </c>
      <c r="Q66" s="2">
        <v>553036131</v>
      </c>
      <c r="R66" s="2" t="s">
        <v>1261</v>
      </c>
      <c r="S66" s="2" t="s">
        <v>1262</v>
      </c>
      <c r="T66" s="2">
        <v>65</v>
      </c>
      <c r="U66" s="2" t="s">
        <v>1263</v>
      </c>
      <c r="V66" s="2" t="s">
        <v>1264</v>
      </c>
      <c r="W66" s="5">
        <f>IF(I66="","",DATE(2000+MID(I66,8,2),MATCH(MID(I66,4,3),{"Jan","Feb","Mar","Apr","May","Jun","Jul","Aug","Sep","Oct","Nov","Dec"},0),1))</f>
        <v>46082</v>
      </c>
      <c r="X66" s="2">
        <f t="shared" si="0"/>
        <v>5184</v>
      </c>
      <c r="Y66" s="2">
        <f t="shared" si="1"/>
        <v>362</v>
      </c>
    </row>
    <row r="67" spans="1:25" x14ac:dyDescent="0.25">
      <c r="A67" s="2" t="s">
        <v>21</v>
      </c>
      <c r="B67" s="2" t="s">
        <v>550</v>
      </c>
      <c r="C67" s="2" t="s">
        <v>551</v>
      </c>
      <c r="D67" s="2" t="s">
        <v>27</v>
      </c>
      <c r="E67" s="2" t="s">
        <v>217</v>
      </c>
      <c r="F67" s="2" t="s">
        <v>218</v>
      </c>
      <c r="G67" s="2" t="s">
        <v>219</v>
      </c>
      <c r="H67" s="2" t="s">
        <v>602</v>
      </c>
      <c r="I67" s="2" t="s">
        <v>593</v>
      </c>
      <c r="J67" s="2" t="s">
        <v>603</v>
      </c>
      <c r="K67" s="2" t="s">
        <v>31</v>
      </c>
      <c r="L67" s="2" t="s">
        <v>604</v>
      </c>
      <c r="M67" s="2" t="s">
        <v>33</v>
      </c>
      <c r="N67" s="2" t="s">
        <v>34</v>
      </c>
      <c r="O67" s="2" t="s">
        <v>35</v>
      </c>
      <c r="P67" s="3">
        <v>168.02</v>
      </c>
      <c r="Q67" s="2">
        <v>681804120</v>
      </c>
      <c r="R67" s="2" t="s">
        <v>605</v>
      </c>
      <c r="S67" s="2" t="s">
        <v>606</v>
      </c>
      <c r="T67" s="2">
        <v>65</v>
      </c>
      <c r="U67" s="2" t="s">
        <v>38</v>
      </c>
      <c r="V67" s="2" t="s">
        <v>607</v>
      </c>
      <c r="W67" s="5">
        <f>IF(I67="","",DATE(2000+MID(I67,8,2),MATCH(MID(I67,4,3),{"Jan","Feb","Mar","Apr","May","Jun","Jul","Aug","Sep","Oct","Nov","Dec"},0),1))</f>
        <v>46023</v>
      </c>
      <c r="X67" s="2">
        <f t="shared" ref="X67:X130" si="2">IF(L67="","",SUBSTITUTE(SUBSTITUTE(L67,",","")," lb",""))*1</f>
        <v>156</v>
      </c>
      <c r="Y67" s="2">
        <f t="shared" ref="Y67:Y130" si="3">IF(H67="","",SUBSTITUTE(SUBSTITUTE(H67,",","")," mi",""))*1</f>
        <v>896</v>
      </c>
    </row>
    <row r="68" spans="1:25" x14ac:dyDescent="0.25">
      <c r="A68" s="2" t="s">
        <v>21</v>
      </c>
      <c r="B68" s="2" t="s">
        <v>690</v>
      </c>
      <c r="C68" s="2" t="s">
        <v>691</v>
      </c>
      <c r="D68" s="2" t="s">
        <v>132</v>
      </c>
      <c r="E68" s="2" t="s">
        <v>968</v>
      </c>
      <c r="F68" s="2" t="s">
        <v>969</v>
      </c>
      <c r="G68" s="2" t="s">
        <v>24</v>
      </c>
      <c r="H68" s="2" t="s">
        <v>970</v>
      </c>
      <c r="I68" s="2" t="s">
        <v>962</v>
      </c>
      <c r="J68" s="2" t="s">
        <v>971</v>
      </c>
      <c r="K68" s="2" t="s">
        <v>31</v>
      </c>
      <c r="L68" s="2" t="s">
        <v>972</v>
      </c>
      <c r="M68" s="2" t="s">
        <v>33</v>
      </c>
      <c r="N68" s="2" t="s">
        <v>34</v>
      </c>
      <c r="O68" s="2" t="s">
        <v>35</v>
      </c>
      <c r="P68" s="3">
        <v>170.49</v>
      </c>
      <c r="Q68" s="2">
        <v>862251523</v>
      </c>
      <c r="R68" s="2" t="s">
        <v>973</v>
      </c>
      <c r="S68" s="2" t="s">
        <v>974</v>
      </c>
      <c r="T68" s="2">
        <v>65</v>
      </c>
      <c r="U68" s="2" t="s">
        <v>188</v>
      </c>
      <c r="V68" s="2" t="s">
        <v>967</v>
      </c>
      <c r="W68" s="5">
        <f>IF(I68="","",DATE(2000+MID(I68,8,2),MATCH(MID(I68,4,3),{"Jan","Feb","Mar","Apr","May","Jun","Jul","Aug","Sep","Oct","Nov","Dec"},0),1))</f>
        <v>46054</v>
      </c>
      <c r="X68" s="2">
        <f t="shared" si="2"/>
        <v>128</v>
      </c>
      <c r="Y68" s="2">
        <f t="shared" si="3"/>
        <v>290</v>
      </c>
    </row>
    <row r="69" spans="1:25" x14ac:dyDescent="0.25">
      <c r="A69" s="2" t="s">
        <v>21</v>
      </c>
      <c r="B69" s="2" t="s">
        <v>690</v>
      </c>
      <c r="C69" s="2" t="s">
        <v>691</v>
      </c>
      <c r="D69" s="2" t="s">
        <v>132</v>
      </c>
      <c r="E69" s="2" t="s">
        <v>968</v>
      </c>
      <c r="F69" s="2" t="s">
        <v>969</v>
      </c>
      <c r="G69" s="2" t="s">
        <v>24</v>
      </c>
      <c r="H69" s="2" t="s">
        <v>970</v>
      </c>
      <c r="I69" s="2" t="s">
        <v>1113</v>
      </c>
      <c r="J69" s="2" t="s">
        <v>1114</v>
      </c>
      <c r="K69" s="2" t="s">
        <v>31</v>
      </c>
      <c r="L69" s="2" t="s">
        <v>1115</v>
      </c>
      <c r="M69" s="2" t="s">
        <v>33</v>
      </c>
      <c r="N69" s="2" t="s">
        <v>34</v>
      </c>
      <c r="O69" s="2" t="s">
        <v>35</v>
      </c>
      <c r="P69" s="3">
        <v>172.22</v>
      </c>
      <c r="Q69" s="2">
        <v>862312770</v>
      </c>
      <c r="R69" s="2" t="s">
        <v>1116</v>
      </c>
      <c r="S69" s="2" t="s">
        <v>1117</v>
      </c>
      <c r="T69" s="2">
        <v>65</v>
      </c>
      <c r="U69" s="2" t="s">
        <v>38</v>
      </c>
      <c r="V69" s="2" t="s">
        <v>1118</v>
      </c>
      <c r="W69" s="5">
        <f>IF(I69="","",DATE(2000+MID(I69,8,2),MATCH(MID(I69,4,3),{"Jan","Feb","Mar","Apr","May","Jun","Jul","Aug","Sep","Oct","Nov","Dec"},0),1))</f>
        <v>46082</v>
      </c>
      <c r="X69" s="2">
        <f t="shared" si="2"/>
        <v>64</v>
      </c>
      <c r="Y69" s="2">
        <f t="shared" si="3"/>
        <v>290</v>
      </c>
    </row>
    <row r="70" spans="1:25" x14ac:dyDescent="0.25">
      <c r="A70" s="2" t="s">
        <v>21</v>
      </c>
      <c r="B70" s="2" t="s">
        <v>72</v>
      </c>
      <c r="C70" s="2" t="s">
        <v>73</v>
      </c>
      <c r="D70" s="2" t="s">
        <v>74</v>
      </c>
      <c r="E70" s="2" t="s">
        <v>882</v>
      </c>
      <c r="F70" s="2" t="s">
        <v>76</v>
      </c>
      <c r="G70" s="2" t="s">
        <v>74</v>
      </c>
      <c r="H70" s="2" t="s">
        <v>77</v>
      </c>
      <c r="I70" s="2" t="s">
        <v>883</v>
      </c>
      <c r="J70" s="2" t="s">
        <v>884</v>
      </c>
      <c r="K70" s="2" t="s">
        <v>31</v>
      </c>
      <c r="L70" s="2" t="s">
        <v>885</v>
      </c>
      <c r="M70" s="2" t="s">
        <v>33</v>
      </c>
      <c r="N70" s="2" t="s">
        <v>34</v>
      </c>
      <c r="O70" s="2" t="s">
        <v>35</v>
      </c>
      <c r="P70" s="3">
        <v>131.72</v>
      </c>
      <c r="Q70" s="2">
        <v>1842460334</v>
      </c>
      <c r="R70" s="2" t="s">
        <v>886</v>
      </c>
      <c r="S70" s="2" t="s">
        <v>887</v>
      </c>
      <c r="T70" s="2">
        <v>65</v>
      </c>
      <c r="U70" s="2" t="s">
        <v>38</v>
      </c>
      <c r="V70" s="2" t="s">
        <v>888</v>
      </c>
      <c r="W70" s="5">
        <f>IF(I70="","",DATE(2000+MID(I70,8,2),MATCH(MID(I70,4,3),{"Jan","Feb","Mar","Apr","May","Jun","Jul","Aug","Sep","Oct","Nov","Dec"},0),1))</f>
        <v>46054</v>
      </c>
      <c r="X70" s="2">
        <f t="shared" si="2"/>
        <v>400</v>
      </c>
      <c r="Y70" s="2">
        <f t="shared" si="3"/>
        <v>586</v>
      </c>
    </row>
    <row r="71" spans="1:25" x14ac:dyDescent="0.25">
      <c r="A71" s="2" t="s">
        <v>21</v>
      </c>
      <c r="B71" s="2" t="s">
        <v>72</v>
      </c>
      <c r="C71" s="2" t="s">
        <v>73</v>
      </c>
      <c r="D71" s="2" t="s">
        <v>74</v>
      </c>
      <c r="E71" s="2" t="s">
        <v>1008</v>
      </c>
      <c r="F71" s="2" t="s">
        <v>76</v>
      </c>
      <c r="G71" s="2" t="s">
        <v>74</v>
      </c>
      <c r="H71" s="2" t="s">
        <v>77</v>
      </c>
      <c r="I71" s="2" t="s">
        <v>883</v>
      </c>
      <c r="J71" s="2" t="s">
        <v>1009</v>
      </c>
      <c r="K71" s="2" t="s">
        <v>31</v>
      </c>
      <c r="L71" s="2" t="s">
        <v>1010</v>
      </c>
      <c r="M71" s="2" t="s">
        <v>33</v>
      </c>
      <c r="N71" s="2" t="s">
        <v>34</v>
      </c>
      <c r="O71" s="2" t="s">
        <v>35</v>
      </c>
      <c r="P71" s="3">
        <v>277.52</v>
      </c>
      <c r="Q71" s="2">
        <v>1842460333</v>
      </c>
      <c r="R71" s="2" t="s">
        <v>1011</v>
      </c>
      <c r="S71" s="2" t="s">
        <v>1012</v>
      </c>
      <c r="T71" s="2">
        <v>65</v>
      </c>
      <c r="U71" s="2" t="s">
        <v>38</v>
      </c>
      <c r="V71" s="2" t="s">
        <v>1013</v>
      </c>
      <c r="W71" s="5">
        <f>IF(I71="","",DATE(2000+MID(I71,8,2),MATCH(MID(I71,4,3),{"Jan","Feb","Mar","Apr","May","Jun","Jul","Aug","Sep","Oct","Nov","Dec"},0),1))</f>
        <v>46054</v>
      </c>
      <c r="X71" s="2">
        <f t="shared" si="2"/>
        <v>1800</v>
      </c>
      <c r="Y71" s="2">
        <f t="shared" si="3"/>
        <v>586</v>
      </c>
    </row>
    <row r="72" spans="1:25" x14ac:dyDescent="0.25">
      <c r="A72" s="2" t="s">
        <v>21</v>
      </c>
      <c r="B72" s="2" t="s">
        <v>903</v>
      </c>
      <c r="C72" s="2" t="s">
        <v>904</v>
      </c>
      <c r="D72" s="2" t="s">
        <v>628</v>
      </c>
      <c r="E72" s="2" t="s">
        <v>905</v>
      </c>
      <c r="F72" s="2" t="s">
        <v>896</v>
      </c>
      <c r="G72" s="2" t="s">
        <v>74</v>
      </c>
      <c r="H72" s="2" t="s">
        <v>906</v>
      </c>
      <c r="I72" s="2" t="s">
        <v>907</v>
      </c>
      <c r="J72" s="2" t="s">
        <v>908</v>
      </c>
      <c r="K72" s="2" t="s">
        <v>31</v>
      </c>
      <c r="L72" s="2" t="s">
        <v>909</v>
      </c>
      <c r="M72" s="2" t="s">
        <v>33</v>
      </c>
      <c r="N72" s="2" t="s">
        <v>34</v>
      </c>
      <c r="O72" s="2" t="s">
        <v>35</v>
      </c>
      <c r="P72" s="3">
        <v>129.87</v>
      </c>
      <c r="R72" s="2" t="s">
        <v>910</v>
      </c>
      <c r="S72" s="2" t="s">
        <v>911</v>
      </c>
      <c r="T72" s="2">
        <v>65</v>
      </c>
      <c r="U72" s="2" t="s">
        <v>38</v>
      </c>
      <c r="W72" s="5">
        <f>IF(I72="","",DATE(2000+MID(I72,8,2),MATCH(MID(I72,4,3),{"Jan","Feb","Mar","Apr","May","Jun","Jul","Aug","Sep","Oct","Nov","Dec"},0),1))</f>
        <v>46054</v>
      </c>
      <c r="X72" s="2">
        <f t="shared" si="2"/>
        <v>56</v>
      </c>
      <c r="Y72" s="2">
        <f t="shared" si="3"/>
        <v>432</v>
      </c>
    </row>
    <row r="73" spans="1:25" x14ac:dyDescent="0.25">
      <c r="A73" s="2" t="s">
        <v>21</v>
      </c>
      <c r="B73" s="2" t="s">
        <v>482</v>
      </c>
      <c r="C73" s="2" t="s">
        <v>483</v>
      </c>
      <c r="D73" s="2" t="s">
        <v>382</v>
      </c>
      <c r="E73" s="2" t="s">
        <v>225</v>
      </c>
      <c r="F73" s="2" t="s">
        <v>226</v>
      </c>
      <c r="G73" s="2" t="s">
        <v>227</v>
      </c>
      <c r="H73" s="2" t="s">
        <v>484</v>
      </c>
      <c r="I73" s="2" t="s">
        <v>485</v>
      </c>
      <c r="J73" s="2" t="s">
        <v>486</v>
      </c>
      <c r="K73" s="2" t="s">
        <v>31</v>
      </c>
      <c r="L73" s="2" t="s">
        <v>487</v>
      </c>
      <c r="M73" s="2" t="s">
        <v>33</v>
      </c>
      <c r="N73" s="2" t="s">
        <v>34</v>
      </c>
      <c r="O73" s="2" t="s">
        <v>35</v>
      </c>
      <c r="P73" s="3">
        <v>131.1</v>
      </c>
      <c r="Q73" s="2">
        <v>1220779169</v>
      </c>
      <c r="R73" s="2" t="s">
        <v>488</v>
      </c>
      <c r="S73" s="2" t="s">
        <v>489</v>
      </c>
      <c r="T73" s="2">
        <v>65</v>
      </c>
      <c r="U73" s="2" t="s">
        <v>38</v>
      </c>
      <c r="V73" s="2" t="s">
        <v>490</v>
      </c>
      <c r="W73" s="5">
        <f>IF(I73="","",DATE(2000+MID(I73,8,2),MATCH(MID(I73,4,3),{"Jan","Feb","Mar","Apr","May","Jun","Jul","Aug","Sep","Oct","Nov","Dec"},0),1))</f>
        <v>45992</v>
      </c>
      <c r="X73" s="2">
        <f t="shared" si="2"/>
        <v>1008</v>
      </c>
      <c r="Y73" s="2">
        <f t="shared" si="3"/>
        <v>200</v>
      </c>
    </row>
    <row r="74" spans="1:25" x14ac:dyDescent="0.25">
      <c r="A74" s="2" t="s">
        <v>21</v>
      </c>
      <c r="B74" s="2" t="s">
        <v>72</v>
      </c>
      <c r="C74" s="2" t="s">
        <v>131</v>
      </c>
      <c r="D74" s="2" t="s">
        <v>132</v>
      </c>
      <c r="E74" s="2" t="s">
        <v>1014</v>
      </c>
      <c r="F74" s="2" t="s">
        <v>1015</v>
      </c>
      <c r="G74" s="2" t="s">
        <v>1016</v>
      </c>
      <c r="H74" s="2" t="s">
        <v>1017</v>
      </c>
      <c r="I74" s="2" t="s">
        <v>1002</v>
      </c>
      <c r="J74" s="2" t="s">
        <v>1018</v>
      </c>
      <c r="K74" s="2" t="s">
        <v>31</v>
      </c>
      <c r="L74" s="2" t="s">
        <v>1019</v>
      </c>
      <c r="M74" s="2" t="s">
        <v>33</v>
      </c>
      <c r="N74" s="2" t="s">
        <v>34</v>
      </c>
      <c r="O74" s="2" t="s">
        <v>35</v>
      </c>
      <c r="P74" s="3">
        <v>382.75</v>
      </c>
      <c r="Q74" s="2">
        <v>1180224034</v>
      </c>
      <c r="R74" s="2" t="s">
        <v>1020</v>
      </c>
      <c r="S74" s="2" t="s">
        <v>1021</v>
      </c>
      <c r="T74" s="2">
        <v>65</v>
      </c>
      <c r="U74" s="2" t="s">
        <v>119</v>
      </c>
      <c r="V74" s="2" t="s">
        <v>1022</v>
      </c>
      <c r="W74" s="5">
        <f>IF(I74="","",DATE(2000+MID(I74,8,2),MATCH(MID(I74,4,3),{"Jan","Feb","Mar","Apr","May","Jun","Jul","Aug","Sep","Oct","Nov","Dec"},0),1))</f>
        <v>46054</v>
      </c>
      <c r="X74" s="2">
        <f t="shared" si="2"/>
        <v>4875.1899999999996</v>
      </c>
      <c r="Y74" s="2">
        <f t="shared" si="3"/>
        <v>314</v>
      </c>
    </row>
    <row r="75" spans="1:25" x14ac:dyDescent="0.25">
      <c r="A75" s="2" t="s">
        <v>21</v>
      </c>
      <c r="B75" s="2" t="s">
        <v>1273</v>
      </c>
      <c r="C75" s="2" t="s">
        <v>1274</v>
      </c>
      <c r="D75" s="2" t="s">
        <v>65</v>
      </c>
      <c r="E75" s="2" t="s">
        <v>875</v>
      </c>
      <c r="F75" s="2" t="s">
        <v>876</v>
      </c>
      <c r="G75" s="2" t="s">
        <v>65</v>
      </c>
      <c r="H75" s="2" t="s">
        <v>1275</v>
      </c>
      <c r="I75" s="2" t="s">
        <v>1276</v>
      </c>
      <c r="J75" s="2" t="s">
        <v>1277</v>
      </c>
      <c r="K75" s="2" t="s">
        <v>31</v>
      </c>
      <c r="L75" s="2" t="s">
        <v>1278</v>
      </c>
      <c r="M75" s="2" t="s">
        <v>33</v>
      </c>
      <c r="N75" s="2" t="s">
        <v>34</v>
      </c>
      <c r="O75" s="2" t="s">
        <v>35</v>
      </c>
      <c r="P75" s="3">
        <v>150.80000000000001</v>
      </c>
      <c r="Q75" s="2">
        <v>492777416</v>
      </c>
      <c r="R75" s="2" t="s">
        <v>1279</v>
      </c>
      <c r="S75" s="2" t="s">
        <v>1280</v>
      </c>
      <c r="T75" s="2">
        <v>65</v>
      </c>
      <c r="U75" s="2" t="s">
        <v>38</v>
      </c>
      <c r="V75" s="2" t="s">
        <v>1281</v>
      </c>
      <c r="W75" s="5">
        <f>IF(I75="","",DATE(2000+MID(I75,8,2),MATCH(MID(I75,4,3),{"Jan","Feb","Mar","Apr","May","Jun","Jul","Aug","Sep","Oct","Nov","Dec"},0),1))</f>
        <v>46082</v>
      </c>
      <c r="X75" s="2">
        <f t="shared" si="2"/>
        <v>184</v>
      </c>
      <c r="Y75" s="2">
        <f t="shared" si="3"/>
        <v>365</v>
      </c>
    </row>
    <row r="76" spans="1:25" x14ac:dyDescent="0.25">
      <c r="A76" s="2" t="s">
        <v>21</v>
      </c>
      <c r="B76" s="2" t="s">
        <v>86</v>
      </c>
      <c r="C76" s="2" t="s">
        <v>87</v>
      </c>
      <c r="D76" s="2" t="s">
        <v>88</v>
      </c>
      <c r="E76" s="2" t="s">
        <v>753</v>
      </c>
      <c r="F76" s="2" t="s">
        <v>754</v>
      </c>
      <c r="G76" s="2" t="s">
        <v>74</v>
      </c>
      <c r="H76" s="2" t="s">
        <v>1344</v>
      </c>
      <c r="I76" s="2" t="s">
        <v>668</v>
      </c>
      <c r="J76" s="2" t="s">
        <v>1521</v>
      </c>
      <c r="K76" s="2" t="s">
        <v>31</v>
      </c>
      <c r="L76" s="2" t="s">
        <v>1522</v>
      </c>
      <c r="M76" s="2" t="s">
        <v>33</v>
      </c>
      <c r="N76" s="2" t="s">
        <v>1318</v>
      </c>
      <c r="O76" s="2" t="s">
        <v>1319</v>
      </c>
      <c r="P76" s="3">
        <v>335.23</v>
      </c>
      <c r="Q76" s="2">
        <v>468506781</v>
      </c>
      <c r="R76" s="2" t="s">
        <v>1523</v>
      </c>
      <c r="S76" s="2" t="s">
        <v>1524</v>
      </c>
      <c r="T76" s="2">
        <v>65</v>
      </c>
      <c r="U76" s="2" t="s">
        <v>38</v>
      </c>
      <c r="V76" s="2" t="s">
        <v>1525</v>
      </c>
      <c r="W76" s="5">
        <f>IF(I76="","",DATE(2000+MID(I76,8,2),MATCH(MID(I76,4,3),{"Jan","Feb","Mar","Apr","May","Jun","Jul","Aug","Sep","Oct","Nov","Dec"},0),1))</f>
        <v>46023</v>
      </c>
      <c r="X76" s="2">
        <f t="shared" si="2"/>
        <v>1830</v>
      </c>
      <c r="Y76" s="2">
        <f t="shared" si="3"/>
        <v>844</v>
      </c>
    </row>
    <row r="77" spans="1:25" x14ac:dyDescent="0.25">
      <c r="A77" s="2" t="s">
        <v>21</v>
      </c>
      <c r="B77" s="2" t="s">
        <v>72</v>
      </c>
      <c r="C77" s="2" t="s">
        <v>465</v>
      </c>
      <c r="D77" s="2" t="s">
        <v>88</v>
      </c>
      <c r="E77" s="2" t="s">
        <v>561</v>
      </c>
      <c r="F77" s="2" t="s">
        <v>562</v>
      </c>
      <c r="G77" s="2" t="s">
        <v>111</v>
      </c>
      <c r="H77" s="2" t="s">
        <v>563</v>
      </c>
      <c r="I77" s="2" t="s">
        <v>553</v>
      </c>
      <c r="J77" s="2" t="s">
        <v>554</v>
      </c>
      <c r="K77" s="2" t="s">
        <v>31</v>
      </c>
      <c r="L77" s="2" t="s">
        <v>564</v>
      </c>
      <c r="M77" s="2" t="s">
        <v>33</v>
      </c>
      <c r="N77" s="2" t="s">
        <v>34</v>
      </c>
      <c r="O77" s="2" t="s">
        <v>35</v>
      </c>
      <c r="P77" s="3">
        <v>128.02000000000001</v>
      </c>
      <c r="Q77" s="2">
        <v>473447563</v>
      </c>
      <c r="R77" s="2" t="s">
        <v>565</v>
      </c>
      <c r="S77" s="2" t="s">
        <v>566</v>
      </c>
      <c r="T77" s="2">
        <v>65</v>
      </c>
      <c r="U77" s="2" t="s">
        <v>38</v>
      </c>
      <c r="V77" s="2" t="s">
        <v>567</v>
      </c>
      <c r="W77" s="5">
        <f>IF(I77="","",DATE(2000+MID(I77,8,2),MATCH(MID(I77,4,3),{"Jan","Feb","Mar","Apr","May","Jun","Jul","Aug","Sep","Oct","Nov","Dec"},0),1))</f>
        <v>45992</v>
      </c>
      <c r="X77" s="2">
        <f t="shared" si="2"/>
        <v>150</v>
      </c>
      <c r="Y77" s="2">
        <f t="shared" si="3"/>
        <v>144</v>
      </c>
    </row>
    <row r="78" spans="1:25" x14ac:dyDescent="0.25">
      <c r="A78" s="2" t="s">
        <v>21</v>
      </c>
      <c r="B78" s="2" t="s">
        <v>320</v>
      </c>
      <c r="C78" s="2" t="s">
        <v>321</v>
      </c>
      <c r="D78" s="2" t="s">
        <v>322</v>
      </c>
      <c r="E78" s="2" t="s">
        <v>414</v>
      </c>
      <c r="F78" s="2" t="s">
        <v>415</v>
      </c>
      <c r="G78" s="2" t="s">
        <v>111</v>
      </c>
      <c r="H78" s="2" t="s">
        <v>416</v>
      </c>
      <c r="I78" s="2" t="s">
        <v>417</v>
      </c>
      <c r="J78" s="2" t="s">
        <v>418</v>
      </c>
      <c r="K78" s="2" t="s">
        <v>31</v>
      </c>
      <c r="L78" s="2" t="s">
        <v>419</v>
      </c>
      <c r="M78" s="2" t="s">
        <v>33</v>
      </c>
      <c r="N78" s="2" t="s">
        <v>34</v>
      </c>
      <c r="O78" s="2" t="s">
        <v>35</v>
      </c>
      <c r="P78" s="3">
        <v>132.33000000000001</v>
      </c>
      <c r="Q78" s="2">
        <v>341304245</v>
      </c>
      <c r="R78" s="2" t="s">
        <v>420</v>
      </c>
      <c r="S78" s="2" t="s">
        <v>421</v>
      </c>
      <c r="T78" s="2">
        <v>65</v>
      </c>
      <c r="U78" s="2" t="s">
        <v>38</v>
      </c>
      <c r="V78" s="2" t="s">
        <v>422</v>
      </c>
      <c r="W78" s="5">
        <f>IF(I78="","",DATE(2000+MID(I78,8,2),MATCH(MID(I78,4,3),{"Jan","Feb","Mar","Apr","May","Jun","Jul","Aug","Sep","Oct","Nov","Dec"},0),1))</f>
        <v>45962</v>
      </c>
      <c r="X78" s="2">
        <f t="shared" si="2"/>
        <v>1204.01</v>
      </c>
      <c r="Y78" s="2">
        <f t="shared" si="3"/>
        <v>291</v>
      </c>
    </row>
    <row r="79" spans="1:25" x14ac:dyDescent="0.25">
      <c r="A79" s="2" t="s">
        <v>21</v>
      </c>
      <c r="B79" s="2" t="s">
        <v>921</v>
      </c>
      <c r="C79" s="2" t="s">
        <v>922</v>
      </c>
      <c r="D79" s="2" t="s">
        <v>65</v>
      </c>
      <c r="E79" s="2" t="s">
        <v>923</v>
      </c>
      <c r="F79" s="2" t="s">
        <v>924</v>
      </c>
      <c r="G79" s="2" t="s">
        <v>65</v>
      </c>
      <c r="H79" s="2" t="s">
        <v>333</v>
      </c>
      <c r="I79" s="2" t="s">
        <v>925</v>
      </c>
      <c r="J79" s="2" t="s">
        <v>926</v>
      </c>
      <c r="K79" s="2" t="s">
        <v>31</v>
      </c>
      <c r="L79" s="2" t="s">
        <v>927</v>
      </c>
      <c r="M79" s="2" t="s">
        <v>33</v>
      </c>
      <c r="N79" s="2" t="s">
        <v>34</v>
      </c>
      <c r="O79" s="2" t="s">
        <v>35</v>
      </c>
      <c r="P79" s="3">
        <v>130.49</v>
      </c>
      <c r="Q79" s="2">
        <v>980023385</v>
      </c>
      <c r="R79" s="2" t="s">
        <v>928</v>
      </c>
      <c r="S79" s="2" t="s">
        <v>929</v>
      </c>
      <c r="T79" s="2">
        <v>65</v>
      </c>
      <c r="U79" s="2" t="s">
        <v>38</v>
      </c>
      <c r="V79" s="2" t="s">
        <v>930</v>
      </c>
      <c r="W79" s="5">
        <f>IF(I79="","",DATE(2000+MID(I79,8,2),MATCH(MID(I79,4,3),{"Jan","Feb","Mar","Apr","May","Jun","Jul","Aug","Sep","Oct","Nov","Dec"},0),1))</f>
        <v>46054</v>
      </c>
      <c r="X79" s="2">
        <f t="shared" si="2"/>
        <v>660</v>
      </c>
      <c r="Y79" s="2">
        <f t="shared" si="3"/>
        <v>313</v>
      </c>
    </row>
    <row r="80" spans="1:25" x14ac:dyDescent="0.25">
      <c r="A80" s="2" t="s">
        <v>21</v>
      </c>
      <c r="B80" s="2" t="s">
        <v>690</v>
      </c>
      <c r="C80" s="2" t="s">
        <v>691</v>
      </c>
      <c r="D80" s="2" t="s">
        <v>132</v>
      </c>
      <c r="E80" s="2" t="s">
        <v>842</v>
      </c>
      <c r="F80" s="2" t="s">
        <v>843</v>
      </c>
      <c r="G80" s="2" t="s">
        <v>24</v>
      </c>
      <c r="H80" s="2" t="s">
        <v>844</v>
      </c>
      <c r="I80" s="2" t="s">
        <v>693</v>
      </c>
      <c r="J80" s="2" t="s">
        <v>845</v>
      </c>
      <c r="K80" s="2" t="s">
        <v>31</v>
      </c>
      <c r="L80" s="2" t="s">
        <v>846</v>
      </c>
      <c r="M80" s="2" t="s">
        <v>33</v>
      </c>
      <c r="N80" s="2" t="s">
        <v>34</v>
      </c>
      <c r="O80" s="2" t="s">
        <v>35</v>
      </c>
      <c r="P80" s="3">
        <v>169.87</v>
      </c>
      <c r="Q80" s="2">
        <v>862251503</v>
      </c>
      <c r="R80" s="2" t="s">
        <v>847</v>
      </c>
      <c r="S80" s="2" t="s">
        <v>848</v>
      </c>
      <c r="T80" s="2">
        <v>65</v>
      </c>
      <c r="U80" s="2" t="s">
        <v>38</v>
      </c>
      <c r="V80" s="2" t="s">
        <v>849</v>
      </c>
      <c r="W80" s="5">
        <f>IF(I80="","",DATE(2000+MID(I80,8,2),MATCH(MID(I80,4,3),{"Jan","Feb","Mar","Apr","May","Jun","Jul","Aug","Sep","Oct","Nov","Dec"},0),1))</f>
        <v>46054</v>
      </c>
      <c r="X80" s="2">
        <f t="shared" si="2"/>
        <v>380</v>
      </c>
      <c r="Y80" s="2">
        <f t="shared" si="3"/>
        <v>235</v>
      </c>
    </row>
    <row r="81" spans="1:25" x14ac:dyDescent="0.25">
      <c r="A81" s="2" t="s">
        <v>21</v>
      </c>
      <c r="B81" s="2" t="s">
        <v>690</v>
      </c>
      <c r="C81" s="2" t="s">
        <v>691</v>
      </c>
      <c r="D81" s="2" t="s">
        <v>132</v>
      </c>
      <c r="E81" s="2" t="s">
        <v>1308</v>
      </c>
      <c r="F81" s="2" t="s">
        <v>1309</v>
      </c>
      <c r="G81" s="2" t="s">
        <v>24</v>
      </c>
      <c r="H81" s="2" t="s">
        <v>1310</v>
      </c>
      <c r="I81" s="2" t="s">
        <v>1311</v>
      </c>
      <c r="J81" s="2" t="s">
        <v>1312</v>
      </c>
      <c r="K81" s="2" t="s">
        <v>31</v>
      </c>
      <c r="L81" s="2" t="s">
        <v>1313</v>
      </c>
      <c r="M81" s="2" t="s">
        <v>33</v>
      </c>
      <c r="N81" s="2" t="s">
        <v>34</v>
      </c>
      <c r="O81" s="2" t="s">
        <v>35</v>
      </c>
      <c r="P81" s="3">
        <v>150.80000000000001</v>
      </c>
      <c r="R81" s="2" t="s">
        <v>1314</v>
      </c>
      <c r="S81" s="2" t="s">
        <v>848</v>
      </c>
      <c r="T81" s="2">
        <v>65</v>
      </c>
      <c r="U81" s="2" t="s">
        <v>38</v>
      </c>
      <c r="W81" s="5">
        <f>IF(I81="","",DATE(2000+MID(I81,8,2),MATCH(MID(I81,4,3),{"Jan","Feb","Mar","Apr","May","Jun","Jul","Aug","Sep","Oct","Nov","Dec"},0),1))</f>
        <v>46082</v>
      </c>
      <c r="X81" s="2">
        <f t="shared" si="2"/>
        <v>44</v>
      </c>
      <c r="Y81" s="2">
        <f t="shared" si="3"/>
        <v>411</v>
      </c>
    </row>
    <row r="82" spans="1:25" x14ac:dyDescent="0.25">
      <c r="A82" s="2" t="s">
        <v>21</v>
      </c>
      <c r="B82" s="2" t="s">
        <v>339</v>
      </c>
      <c r="C82" s="2" t="s">
        <v>340</v>
      </c>
      <c r="D82" s="2" t="s">
        <v>74</v>
      </c>
      <c r="E82" s="2" t="s">
        <v>753</v>
      </c>
      <c r="F82" s="2" t="s">
        <v>754</v>
      </c>
      <c r="G82" s="2" t="s">
        <v>74</v>
      </c>
      <c r="H82" s="2" t="s">
        <v>1477</v>
      </c>
      <c r="I82" s="2" t="s">
        <v>429</v>
      </c>
      <c r="J82" s="2" t="s">
        <v>430</v>
      </c>
      <c r="K82" s="2" t="s">
        <v>31</v>
      </c>
      <c r="L82" s="2" t="s">
        <v>1010</v>
      </c>
      <c r="M82" s="2" t="s">
        <v>33</v>
      </c>
      <c r="N82" s="2" t="s">
        <v>1318</v>
      </c>
      <c r="O82" s="2" t="s">
        <v>1319</v>
      </c>
      <c r="P82" s="3">
        <v>109.46</v>
      </c>
      <c r="R82" s="2" t="s">
        <v>1478</v>
      </c>
      <c r="S82" s="2" t="s">
        <v>1479</v>
      </c>
      <c r="T82" s="2">
        <v>65</v>
      </c>
      <c r="U82" s="2" t="s">
        <v>38</v>
      </c>
      <c r="W82" s="5">
        <f>IF(I82="","",DATE(2000+MID(I82,8,2),MATCH(MID(I82,4,3),{"Jan","Feb","Mar","Apr","May","Jun","Jul","Aug","Sep","Oct","Nov","Dec"},0),1))</f>
        <v>45962</v>
      </c>
      <c r="X82" s="2">
        <f t="shared" si="2"/>
        <v>1800</v>
      </c>
      <c r="Y82" s="2">
        <f t="shared" si="3"/>
        <v>0</v>
      </c>
    </row>
    <row r="83" spans="1:25" x14ac:dyDescent="0.25">
      <c r="A83" s="2" t="s">
        <v>21</v>
      </c>
      <c r="B83" s="2" t="s">
        <v>72</v>
      </c>
      <c r="C83" s="2" t="s">
        <v>252</v>
      </c>
      <c r="D83" s="2" t="s">
        <v>65</v>
      </c>
      <c r="E83" s="2" t="s">
        <v>1493</v>
      </c>
      <c r="F83" s="2" t="s">
        <v>1494</v>
      </c>
      <c r="G83" s="2" t="s">
        <v>65</v>
      </c>
      <c r="H83" s="2" t="s">
        <v>1495</v>
      </c>
      <c r="I83" s="2" t="s">
        <v>1496</v>
      </c>
      <c r="J83" s="2" t="s">
        <v>557</v>
      </c>
      <c r="K83" s="2" t="s">
        <v>31</v>
      </c>
      <c r="L83" s="2" t="s">
        <v>658</v>
      </c>
      <c r="M83" s="2" t="s">
        <v>33</v>
      </c>
      <c r="N83" s="2" t="s">
        <v>1318</v>
      </c>
      <c r="O83" s="2" t="s">
        <v>1319</v>
      </c>
      <c r="P83" s="3">
        <v>187.93</v>
      </c>
      <c r="Q83" s="2">
        <v>462372545</v>
      </c>
      <c r="R83" s="2" t="s">
        <v>1497</v>
      </c>
      <c r="S83" s="2" t="s">
        <v>1498</v>
      </c>
      <c r="T83" s="2">
        <v>65</v>
      </c>
      <c r="U83" s="2" t="s">
        <v>38</v>
      </c>
      <c r="V83" s="2" t="s">
        <v>1499</v>
      </c>
      <c r="W83" s="5">
        <f>IF(I83="","",DATE(2000+MID(I83,8,2),MATCH(MID(I83,4,3),{"Jan","Feb","Mar","Apr","May","Jun","Jul","Aug","Sep","Oct","Nov","Dec"},0),1))</f>
        <v>45992</v>
      </c>
      <c r="X83" s="2">
        <f t="shared" si="2"/>
        <v>900</v>
      </c>
      <c r="Y83" s="2">
        <f t="shared" si="3"/>
        <v>300</v>
      </c>
    </row>
    <row r="84" spans="1:25" x14ac:dyDescent="0.25">
      <c r="A84" s="2" t="s">
        <v>21</v>
      </c>
      <c r="B84" s="2" t="s">
        <v>339</v>
      </c>
      <c r="C84" s="2" t="s">
        <v>340</v>
      </c>
      <c r="D84" s="2" t="s">
        <v>74</v>
      </c>
      <c r="E84" s="2" t="s">
        <v>1487</v>
      </c>
      <c r="F84" s="2" t="s">
        <v>1488</v>
      </c>
      <c r="G84" s="2" t="s">
        <v>74</v>
      </c>
      <c r="H84" s="2" t="s">
        <v>77</v>
      </c>
      <c r="I84" s="2" t="s">
        <v>1489</v>
      </c>
      <c r="J84" s="2" t="s">
        <v>1490</v>
      </c>
      <c r="K84" s="2" t="s">
        <v>31</v>
      </c>
      <c r="L84" s="2" t="s">
        <v>1432</v>
      </c>
      <c r="M84" s="2" t="s">
        <v>33</v>
      </c>
      <c r="N84" s="2" t="s">
        <v>1318</v>
      </c>
      <c r="O84" s="2" t="s">
        <v>1319</v>
      </c>
      <c r="P84" s="3">
        <v>108.68</v>
      </c>
      <c r="Q84" s="2">
        <v>426661362</v>
      </c>
      <c r="R84" s="2" t="s">
        <v>1491</v>
      </c>
      <c r="S84" s="2" t="s">
        <v>1492</v>
      </c>
      <c r="T84" s="2">
        <v>65</v>
      </c>
      <c r="U84" s="2" t="s">
        <v>38</v>
      </c>
      <c r="V84" s="2" t="s">
        <v>1489</v>
      </c>
      <c r="W84" s="5">
        <f>IF(I84="","",DATE(2000+MID(I84,8,2),MATCH(MID(I84,4,3),{"Jan","Feb","Mar","Apr","May","Jun","Jul","Aug","Sep","Oct","Nov","Dec"},0),1))</f>
        <v>45992</v>
      </c>
      <c r="X84" s="2">
        <f t="shared" si="2"/>
        <v>300</v>
      </c>
      <c r="Y84" s="2">
        <f t="shared" si="3"/>
        <v>586</v>
      </c>
    </row>
    <row r="85" spans="1:25" x14ac:dyDescent="0.25">
      <c r="A85" s="2" t="s">
        <v>21</v>
      </c>
      <c r="B85" s="2" t="s">
        <v>72</v>
      </c>
      <c r="C85" s="2" t="s">
        <v>73</v>
      </c>
      <c r="D85" s="2" t="s">
        <v>74</v>
      </c>
      <c r="E85" s="2" t="s">
        <v>882</v>
      </c>
      <c r="F85" s="2" t="s">
        <v>76</v>
      </c>
      <c r="G85" s="2" t="s">
        <v>74</v>
      </c>
      <c r="H85" s="2" t="s">
        <v>77</v>
      </c>
      <c r="I85" s="2" t="s">
        <v>1221</v>
      </c>
      <c r="J85" s="2" t="s">
        <v>1222</v>
      </c>
      <c r="K85" s="2" t="s">
        <v>31</v>
      </c>
      <c r="L85" s="2" t="s">
        <v>885</v>
      </c>
      <c r="M85" s="2" t="s">
        <v>33</v>
      </c>
      <c r="N85" s="2" t="s">
        <v>34</v>
      </c>
      <c r="O85" s="2" t="s">
        <v>35</v>
      </c>
      <c r="P85" s="3">
        <v>144.63999999999999</v>
      </c>
      <c r="Q85" s="2">
        <v>1842340876</v>
      </c>
      <c r="R85" s="2" t="s">
        <v>1223</v>
      </c>
      <c r="S85" s="2" t="s">
        <v>1224</v>
      </c>
      <c r="T85" s="2">
        <v>65</v>
      </c>
      <c r="U85" s="2" t="s">
        <v>38</v>
      </c>
      <c r="V85" s="2" t="s">
        <v>1225</v>
      </c>
      <c r="W85" s="5">
        <f>IF(I85="","",DATE(2000+MID(I85,8,2),MATCH(MID(I85,4,3),{"Jan","Feb","Mar","Apr","May","Jun","Jul","Aug","Sep","Oct","Nov","Dec"},0),1))</f>
        <v>46082</v>
      </c>
      <c r="X85" s="2">
        <f t="shared" si="2"/>
        <v>400</v>
      </c>
      <c r="Y85" s="2">
        <f t="shared" si="3"/>
        <v>586</v>
      </c>
    </row>
    <row r="86" spans="1:25" x14ac:dyDescent="0.25">
      <c r="A86" s="2" t="s">
        <v>21</v>
      </c>
      <c r="B86" s="2" t="s">
        <v>96</v>
      </c>
      <c r="C86" s="2" t="s">
        <v>97</v>
      </c>
      <c r="D86" s="2" t="s">
        <v>98</v>
      </c>
      <c r="E86" s="2" t="s">
        <v>414</v>
      </c>
      <c r="F86" s="2" t="s">
        <v>415</v>
      </c>
      <c r="G86" s="2" t="s">
        <v>111</v>
      </c>
      <c r="H86" s="2" t="s">
        <v>705</v>
      </c>
      <c r="I86" s="2" t="s">
        <v>706</v>
      </c>
      <c r="J86" s="2" t="s">
        <v>707</v>
      </c>
      <c r="K86" s="2" t="s">
        <v>31</v>
      </c>
      <c r="L86" s="2" t="s">
        <v>708</v>
      </c>
      <c r="M86" s="2" t="s">
        <v>33</v>
      </c>
      <c r="N86" s="2" t="s">
        <v>34</v>
      </c>
      <c r="O86" s="2" t="s">
        <v>35</v>
      </c>
      <c r="P86" s="3">
        <v>187.4</v>
      </c>
      <c r="Q86" s="2">
        <v>373694283</v>
      </c>
      <c r="R86" s="2" t="s">
        <v>709</v>
      </c>
      <c r="S86" s="2" t="s">
        <v>710</v>
      </c>
      <c r="T86" s="2">
        <v>65</v>
      </c>
      <c r="U86" s="2" t="s">
        <v>38</v>
      </c>
      <c r="V86" s="2" t="s">
        <v>711</v>
      </c>
      <c r="W86" s="5">
        <f>IF(I86="","",DATE(2000+MID(I86,8,2),MATCH(MID(I86,4,3),{"Jan","Feb","Mar","Apr","May","Jun","Jul","Aug","Sep","Oct","Nov","Dec"},0),1))</f>
        <v>46023</v>
      </c>
      <c r="X86" s="2">
        <f t="shared" si="2"/>
        <v>81</v>
      </c>
      <c r="Y86" s="2">
        <f t="shared" si="3"/>
        <v>507</v>
      </c>
    </row>
    <row r="87" spans="1:25" x14ac:dyDescent="0.25">
      <c r="A87" s="2" t="s">
        <v>21</v>
      </c>
      <c r="B87" s="2" t="s">
        <v>423</v>
      </c>
      <c r="C87" s="2" t="s">
        <v>424</v>
      </c>
      <c r="D87" s="2" t="s">
        <v>65</v>
      </c>
      <c r="E87" s="2" t="s">
        <v>99</v>
      </c>
      <c r="F87" s="2" t="s">
        <v>100</v>
      </c>
      <c r="G87" s="2" t="s">
        <v>101</v>
      </c>
      <c r="H87" s="2" t="s">
        <v>1103</v>
      </c>
      <c r="I87" s="2" t="s">
        <v>1104</v>
      </c>
      <c r="J87" s="2" t="s">
        <v>1105</v>
      </c>
      <c r="K87" s="2" t="s">
        <v>31</v>
      </c>
      <c r="L87" s="2" t="s">
        <v>646</v>
      </c>
      <c r="M87" s="2" t="s">
        <v>33</v>
      </c>
      <c r="N87" s="2" t="s">
        <v>34</v>
      </c>
      <c r="O87" s="2" t="s">
        <v>35</v>
      </c>
      <c r="P87" s="3">
        <v>171.72</v>
      </c>
      <c r="Q87" s="2">
        <v>1090621044</v>
      </c>
      <c r="R87" s="2" t="s">
        <v>1106</v>
      </c>
      <c r="S87" s="2" t="s">
        <v>1107</v>
      </c>
      <c r="T87" s="2">
        <v>65</v>
      </c>
      <c r="U87" s="2" t="s">
        <v>38</v>
      </c>
      <c r="V87" s="2" t="s">
        <v>1108</v>
      </c>
      <c r="W87" s="5">
        <f>IF(I87="","",DATE(2000+MID(I87,8,2),MATCH(MID(I87,4,3),{"Jan","Feb","Mar","Apr","May","Jun","Jul","Aug","Sep","Oct","Nov","Dec"},0),1))</f>
        <v>46082</v>
      </c>
      <c r="X87" s="2">
        <f t="shared" si="2"/>
        <v>324</v>
      </c>
      <c r="Y87" s="2">
        <f t="shared" si="3"/>
        <v>841</v>
      </c>
    </row>
    <row r="88" spans="1:25" x14ac:dyDescent="0.25">
      <c r="A88" s="2" t="s">
        <v>21</v>
      </c>
      <c r="B88" s="2" t="s">
        <v>96</v>
      </c>
      <c r="C88" s="2" t="s">
        <v>97</v>
      </c>
      <c r="D88" s="2" t="s">
        <v>98</v>
      </c>
      <c r="E88" s="2" t="s">
        <v>395</v>
      </c>
      <c r="F88" s="2" t="s">
        <v>396</v>
      </c>
      <c r="G88" s="2" t="s">
        <v>397</v>
      </c>
      <c r="H88" s="2" t="s">
        <v>608</v>
      </c>
      <c r="I88" s="2" t="s">
        <v>609</v>
      </c>
      <c r="J88" s="2" t="s">
        <v>610</v>
      </c>
      <c r="K88" s="2" t="s">
        <v>31</v>
      </c>
      <c r="L88" s="2" t="s">
        <v>611</v>
      </c>
      <c r="M88" s="2" t="s">
        <v>33</v>
      </c>
      <c r="N88" s="2" t="s">
        <v>34</v>
      </c>
      <c r="O88" s="2" t="s">
        <v>35</v>
      </c>
      <c r="P88" s="3">
        <v>168.02</v>
      </c>
      <c r="Q88" s="2">
        <v>373565569</v>
      </c>
      <c r="R88" s="2" t="s">
        <v>612</v>
      </c>
      <c r="S88" s="2" t="s">
        <v>613</v>
      </c>
      <c r="T88" s="2">
        <v>65</v>
      </c>
      <c r="U88" s="2" t="s">
        <v>119</v>
      </c>
      <c r="V88" s="2" t="s">
        <v>614</v>
      </c>
      <c r="W88" s="5">
        <f>IF(I88="","",DATE(2000+MID(I88,8,2),MATCH(MID(I88,4,3),{"Jan","Feb","Mar","Apr","May","Jun","Jul","Aug","Sep","Oct","Nov","Dec"},0),1))</f>
        <v>46023</v>
      </c>
      <c r="X88" s="2">
        <f t="shared" si="2"/>
        <v>93</v>
      </c>
      <c r="Y88" s="2">
        <f t="shared" si="3"/>
        <v>1181</v>
      </c>
    </row>
    <row r="89" spans="1:25" x14ac:dyDescent="0.25">
      <c r="A89" s="2" t="s">
        <v>21</v>
      </c>
      <c r="B89" s="2" t="s">
        <v>96</v>
      </c>
      <c r="C89" s="2" t="s">
        <v>97</v>
      </c>
      <c r="D89" s="2" t="s">
        <v>98</v>
      </c>
      <c r="E89" s="2" t="s">
        <v>277</v>
      </c>
      <c r="F89" s="2" t="s">
        <v>278</v>
      </c>
      <c r="G89" s="2" t="s">
        <v>132</v>
      </c>
      <c r="H89" s="2" t="s">
        <v>279</v>
      </c>
      <c r="I89" s="2" t="s">
        <v>800</v>
      </c>
      <c r="J89" s="2" t="s">
        <v>801</v>
      </c>
      <c r="K89" s="2" t="s">
        <v>31</v>
      </c>
      <c r="L89" s="2" t="s">
        <v>788</v>
      </c>
      <c r="M89" s="2" t="s">
        <v>33</v>
      </c>
      <c r="N89" s="2" t="s">
        <v>34</v>
      </c>
      <c r="O89" s="2" t="s">
        <v>35</v>
      </c>
      <c r="P89" s="3">
        <v>168.02</v>
      </c>
      <c r="Q89" s="2">
        <v>373773807</v>
      </c>
      <c r="R89" s="2" t="s">
        <v>802</v>
      </c>
      <c r="S89" s="2" t="s">
        <v>803</v>
      </c>
      <c r="T89" s="2">
        <v>65</v>
      </c>
      <c r="U89" s="2" t="s">
        <v>38</v>
      </c>
      <c r="V89" s="2" t="s">
        <v>804</v>
      </c>
      <c r="W89" s="5">
        <f>IF(I89="","",DATE(2000+MID(I89,8,2),MATCH(MID(I89,4,3),{"Jan","Feb","Mar","Apr","May","Jun","Jul","Aug","Sep","Oct","Nov","Dec"},0),1))</f>
        <v>46023</v>
      </c>
      <c r="X89" s="2">
        <f t="shared" si="2"/>
        <v>48</v>
      </c>
      <c r="Y89" s="2">
        <f t="shared" si="3"/>
        <v>341</v>
      </c>
    </row>
    <row r="90" spans="1:25" x14ac:dyDescent="0.25">
      <c r="A90" s="2" t="s">
        <v>21</v>
      </c>
      <c r="B90" s="2" t="s">
        <v>275</v>
      </c>
      <c r="C90" s="2" t="s">
        <v>276</v>
      </c>
      <c r="D90" s="2" t="s">
        <v>98</v>
      </c>
      <c r="E90" s="2" t="s">
        <v>423</v>
      </c>
      <c r="F90" s="2" t="s">
        <v>424</v>
      </c>
      <c r="G90" s="2" t="s">
        <v>65</v>
      </c>
      <c r="H90" s="2" t="s">
        <v>643</v>
      </c>
      <c r="I90" s="2" t="s">
        <v>644</v>
      </c>
      <c r="J90" s="2" t="s">
        <v>645</v>
      </c>
      <c r="K90" s="2" t="s">
        <v>31</v>
      </c>
      <c r="L90" s="2" t="s">
        <v>646</v>
      </c>
      <c r="M90" s="2" t="s">
        <v>33</v>
      </c>
      <c r="N90" s="2" t="s">
        <v>34</v>
      </c>
      <c r="O90" s="2" t="s">
        <v>35</v>
      </c>
      <c r="P90" s="3">
        <v>167.14</v>
      </c>
      <c r="Q90" s="2">
        <v>373694253</v>
      </c>
      <c r="R90" s="2" t="s">
        <v>647</v>
      </c>
      <c r="S90" s="2" t="s">
        <v>648</v>
      </c>
      <c r="T90" s="2">
        <v>65</v>
      </c>
      <c r="U90" s="2" t="s">
        <v>38</v>
      </c>
      <c r="V90" s="2" t="s">
        <v>649</v>
      </c>
      <c r="W90" s="5">
        <f>IF(I90="","",DATE(2000+MID(I90,8,2),MATCH(MID(I90,4,3),{"Jan","Feb","Mar","Apr","May","Jun","Jul","Aug","Sep","Oct","Nov","Dec"},0),1))</f>
        <v>46023</v>
      </c>
      <c r="X90" s="2">
        <f t="shared" si="2"/>
        <v>324</v>
      </c>
      <c r="Y90" s="2">
        <f t="shared" si="3"/>
        <v>440</v>
      </c>
    </row>
    <row r="91" spans="1:25" x14ac:dyDescent="0.25">
      <c r="A91" s="2" t="s">
        <v>21</v>
      </c>
      <c r="B91" s="2" t="s">
        <v>531</v>
      </c>
      <c r="C91" s="2" t="s">
        <v>532</v>
      </c>
      <c r="D91" s="2" t="s">
        <v>132</v>
      </c>
      <c r="E91" s="2" t="s">
        <v>1226</v>
      </c>
      <c r="F91" s="2" t="s">
        <v>987</v>
      </c>
      <c r="G91" s="2" t="s">
        <v>988</v>
      </c>
      <c r="H91" s="2" t="s">
        <v>989</v>
      </c>
      <c r="I91" s="2" t="s">
        <v>1212</v>
      </c>
      <c r="J91" s="2" t="s">
        <v>1222</v>
      </c>
      <c r="K91" s="2" t="s">
        <v>31</v>
      </c>
      <c r="L91" s="2" t="s">
        <v>1227</v>
      </c>
      <c r="M91" s="2" t="s">
        <v>33</v>
      </c>
      <c r="N91" s="2" t="s">
        <v>34</v>
      </c>
      <c r="O91" s="2" t="s">
        <v>35</v>
      </c>
      <c r="P91" s="3">
        <v>1496.74</v>
      </c>
      <c r="Q91" s="2">
        <v>1271507824</v>
      </c>
      <c r="R91" s="2" t="s">
        <v>1223</v>
      </c>
      <c r="S91" s="2" t="s">
        <v>1228</v>
      </c>
      <c r="T91" s="2">
        <v>65</v>
      </c>
      <c r="U91" s="2" t="s">
        <v>358</v>
      </c>
      <c r="V91" s="2" t="s">
        <v>1229</v>
      </c>
      <c r="W91" s="5">
        <f>IF(I91="","",DATE(2000+MID(I91,8,2),MATCH(MID(I91,4,3),{"Jan","Feb","Mar","Apr","May","Jun","Jul","Aug","Sep","Oct","Nov","Dec"},0),1))</f>
        <v>46082</v>
      </c>
      <c r="X91" s="2">
        <f t="shared" si="2"/>
        <v>4900</v>
      </c>
      <c r="Y91" s="2">
        <f t="shared" si="3"/>
        <v>1841</v>
      </c>
    </row>
    <row r="92" spans="1:25" x14ac:dyDescent="0.25">
      <c r="A92" s="2" t="s">
        <v>21</v>
      </c>
      <c r="B92" s="2" t="s">
        <v>34</v>
      </c>
      <c r="C92" s="2" t="s">
        <v>100</v>
      </c>
      <c r="D92" s="2" t="s">
        <v>101</v>
      </c>
      <c r="E92" s="2" t="s">
        <v>531</v>
      </c>
      <c r="F92" s="2" t="s">
        <v>532</v>
      </c>
      <c r="G92" s="2" t="s">
        <v>132</v>
      </c>
      <c r="H92" s="2" t="s">
        <v>1236</v>
      </c>
      <c r="I92" s="2" t="s">
        <v>1218</v>
      </c>
      <c r="J92" s="2" t="s">
        <v>1237</v>
      </c>
      <c r="K92" s="2" t="s">
        <v>31</v>
      </c>
      <c r="L92" s="2" t="s">
        <v>1238</v>
      </c>
      <c r="M92" s="2" t="s">
        <v>33</v>
      </c>
      <c r="N92" s="2" t="s">
        <v>34</v>
      </c>
      <c r="O92" s="2" t="s">
        <v>35</v>
      </c>
      <c r="P92" s="3">
        <v>700.34</v>
      </c>
      <c r="R92" s="2" t="s">
        <v>1239</v>
      </c>
      <c r="S92" s="2" t="s">
        <v>1240</v>
      </c>
      <c r="T92" s="2">
        <v>125</v>
      </c>
      <c r="U92" s="2" t="s">
        <v>188</v>
      </c>
      <c r="W92" s="5">
        <f>IF(I92="","",DATE(2000+MID(I92,8,2),MATCH(MID(I92,4,3),{"Jan","Feb","Mar","Apr","May","Jun","Jul","Aug","Sep","Oct","Nov","Dec"},0),1))</f>
        <v>46082</v>
      </c>
      <c r="X92" s="2">
        <f t="shared" si="2"/>
        <v>2850</v>
      </c>
      <c r="Y92" s="2">
        <f t="shared" si="3"/>
        <v>661</v>
      </c>
    </row>
    <row r="93" spans="1:25" x14ac:dyDescent="0.25">
      <c r="A93" s="2" t="s">
        <v>21</v>
      </c>
      <c r="B93" s="2" t="s">
        <v>531</v>
      </c>
      <c r="C93" s="2" t="s">
        <v>532</v>
      </c>
      <c r="D93" s="2" t="s">
        <v>132</v>
      </c>
      <c r="E93" s="2" t="s">
        <v>374</v>
      </c>
      <c r="F93" s="2" t="s">
        <v>375</v>
      </c>
      <c r="G93" s="2" t="s">
        <v>42</v>
      </c>
      <c r="H93" s="2" t="s">
        <v>376</v>
      </c>
      <c r="I93" s="2" t="s">
        <v>1218</v>
      </c>
      <c r="J93" s="2" t="s">
        <v>1237</v>
      </c>
      <c r="K93" s="2" t="s">
        <v>31</v>
      </c>
      <c r="L93" s="2" t="s">
        <v>1241</v>
      </c>
      <c r="M93" s="2" t="s">
        <v>33</v>
      </c>
      <c r="N93" s="2" t="s">
        <v>34</v>
      </c>
      <c r="O93" s="2" t="s">
        <v>35</v>
      </c>
      <c r="P93" s="3">
        <v>475.51</v>
      </c>
      <c r="Q93" s="2">
        <v>1271599687</v>
      </c>
      <c r="R93" s="2" t="s">
        <v>1239</v>
      </c>
      <c r="S93" s="2" t="s">
        <v>1240</v>
      </c>
      <c r="T93" s="2">
        <v>125</v>
      </c>
      <c r="U93" s="2" t="s">
        <v>119</v>
      </c>
      <c r="V93" s="2" t="s">
        <v>1242</v>
      </c>
      <c r="W93" s="5">
        <f>IF(I93="","",DATE(2000+MID(I93,8,2),MATCH(MID(I93,4,3),{"Jan","Feb","Mar","Apr","May","Jun","Jul","Aug","Sep","Oct","Nov","Dec"},0),1))</f>
        <v>46082</v>
      </c>
      <c r="X93" s="2">
        <f t="shared" si="2"/>
        <v>1290</v>
      </c>
      <c r="Y93" s="2">
        <f t="shared" si="3"/>
        <v>367</v>
      </c>
    </row>
    <row r="94" spans="1:25" x14ac:dyDescent="0.25">
      <c r="A94" s="2" t="s">
        <v>21</v>
      </c>
      <c r="B94" s="2" t="s">
        <v>531</v>
      </c>
      <c r="C94" s="2" t="s">
        <v>532</v>
      </c>
      <c r="D94" s="2" t="s">
        <v>132</v>
      </c>
      <c r="E94" s="2" t="s">
        <v>1230</v>
      </c>
      <c r="F94" s="2" t="s">
        <v>1231</v>
      </c>
      <c r="G94" s="2" t="s">
        <v>42</v>
      </c>
      <c r="H94" s="2" t="s">
        <v>102</v>
      </c>
      <c r="I94" s="2" t="s">
        <v>1218</v>
      </c>
      <c r="J94" s="2" t="s">
        <v>947</v>
      </c>
      <c r="K94" s="2" t="s">
        <v>31</v>
      </c>
      <c r="L94" s="2" t="s">
        <v>1232</v>
      </c>
      <c r="M94" s="2" t="s">
        <v>33</v>
      </c>
      <c r="N94" s="2" t="s">
        <v>34</v>
      </c>
      <c r="O94" s="2" t="s">
        <v>35</v>
      </c>
      <c r="P94" s="3">
        <v>467.72</v>
      </c>
      <c r="Q94" s="2">
        <v>1271593562</v>
      </c>
      <c r="R94" s="2" t="s">
        <v>1233</v>
      </c>
      <c r="S94" s="2" t="s">
        <v>1234</v>
      </c>
      <c r="T94" s="2">
        <v>125</v>
      </c>
      <c r="U94" s="2" t="s">
        <v>363</v>
      </c>
      <c r="V94" s="2" t="s">
        <v>1235</v>
      </c>
      <c r="W94" s="5">
        <f>IF(I94="","",DATE(2000+MID(I94,8,2),MATCH(MID(I94,4,3),{"Jan","Feb","Mar","Apr","May","Jun","Jul","Aug","Sep","Oct","Nov","Dec"},0),1))</f>
        <v>46082</v>
      </c>
      <c r="X94" s="2">
        <f t="shared" si="2"/>
        <v>4434</v>
      </c>
      <c r="Y94" s="2">
        <f t="shared" si="3"/>
        <v>587</v>
      </c>
    </row>
    <row r="95" spans="1:25" x14ac:dyDescent="0.25">
      <c r="A95" s="2" t="s">
        <v>21</v>
      </c>
      <c r="B95" s="2" t="s">
        <v>72</v>
      </c>
      <c r="C95" s="2" t="s">
        <v>349</v>
      </c>
      <c r="D95" s="2" t="s">
        <v>132</v>
      </c>
      <c r="E95" s="2" t="s">
        <v>1031</v>
      </c>
      <c r="F95" s="2" t="s">
        <v>1032</v>
      </c>
      <c r="G95" s="2" t="s">
        <v>725</v>
      </c>
      <c r="H95" s="2" t="s">
        <v>1033</v>
      </c>
      <c r="I95" s="2" t="s">
        <v>1207</v>
      </c>
      <c r="J95" s="2" t="s">
        <v>1285</v>
      </c>
      <c r="K95" s="2" t="s">
        <v>31</v>
      </c>
      <c r="L95" s="2" t="s">
        <v>1289</v>
      </c>
      <c r="M95" s="2" t="s">
        <v>33</v>
      </c>
      <c r="N95" s="2" t="s">
        <v>34</v>
      </c>
      <c r="O95" s="2" t="s">
        <v>35</v>
      </c>
      <c r="P95" s="3">
        <v>822</v>
      </c>
      <c r="Q95" s="2">
        <v>1271515208</v>
      </c>
      <c r="R95" s="2" t="s">
        <v>1287</v>
      </c>
      <c r="S95" s="2" t="s">
        <v>1290</v>
      </c>
      <c r="T95" s="2">
        <v>125</v>
      </c>
      <c r="U95" s="2" t="s">
        <v>51</v>
      </c>
      <c r="V95" s="2" t="s">
        <v>1288</v>
      </c>
      <c r="W95" s="5">
        <f>IF(I95="","",DATE(2000+MID(I95,8,2),MATCH(MID(I95,4,3),{"Jan","Feb","Mar","Apr","May","Jun","Jul","Aug","Sep","Oct","Nov","Dec"},0),1))</f>
        <v>46082</v>
      </c>
      <c r="X95" s="2">
        <f t="shared" si="2"/>
        <v>2155</v>
      </c>
      <c r="Y95" s="2">
        <f t="shared" si="3"/>
        <v>2098</v>
      </c>
    </row>
    <row r="96" spans="1:25" x14ac:dyDescent="0.25">
      <c r="A96" s="2" t="s">
        <v>21</v>
      </c>
      <c r="B96" s="2" t="s">
        <v>72</v>
      </c>
      <c r="C96" s="2" t="s">
        <v>349</v>
      </c>
      <c r="D96" s="2" t="s">
        <v>132</v>
      </c>
      <c r="E96" s="2" t="s">
        <v>350</v>
      </c>
      <c r="F96" s="2" t="s">
        <v>351</v>
      </c>
      <c r="G96" s="2" t="s">
        <v>227</v>
      </c>
      <c r="H96" s="2" t="s">
        <v>352</v>
      </c>
      <c r="I96" s="2" t="s">
        <v>353</v>
      </c>
      <c r="J96" s="2" t="s">
        <v>354</v>
      </c>
      <c r="K96" s="2" t="s">
        <v>31</v>
      </c>
      <c r="L96" s="2" t="s">
        <v>355</v>
      </c>
      <c r="M96" s="2" t="s">
        <v>33</v>
      </c>
      <c r="N96" s="2" t="s">
        <v>34</v>
      </c>
      <c r="O96" s="2" t="s">
        <v>35</v>
      </c>
      <c r="P96" s="3">
        <v>876.73</v>
      </c>
      <c r="Q96" s="2">
        <v>1271546501</v>
      </c>
      <c r="R96" s="2" t="s">
        <v>356</v>
      </c>
      <c r="S96" s="2" t="s">
        <v>357</v>
      </c>
      <c r="T96" s="2">
        <v>125</v>
      </c>
      <c r="U96" s="2" t="s">
        <v>358</v>
      </c>
      <c r="V96" s="2" t="s">
        <v>359</v>
      </c>
      <c r="W96" s="5">
        <f>IF(I96="","",DATE(2000+MID(I96,8,2),MATCH(MID(I96,4,3),{"Jan","Feb","Mar","Apr","May","Jun","Jul","Aug","Sep","Oct","Nov","Dec"},0),1))</f>
        <v>45962</v>
      </c>
      <c r="X96" s="2">
        <f t="shared" si="2"/>
        <v>4165</v>
      </c>
      <c r="Y96" s="2">
        <f t="shared" si="3"/>
        <v>608</v>
      </c>
    </row>
    <row r="97" spans="1:25" x14ac:dyDescent="0.25">
      <c r="A97" s="2" t="s">
        <v>21</v>
      </c>
      <c r="B97" s="2" t="s">
        <v>531</v>
      </c>
      <c r="C97" s="2" t="s">
        <v>532</v>
      </c>
      <c r="D97" s="2" t="s">
        <v>132</v>
      </c>
      <c r="E97" s="2" t="s">
        <v>698</v>
      </c>
      <c r="F97" s="2" t="s">
        <v>699</v>
      </c>
      <c r="G97" s="2" t="s">
        <v>65</v>
      </c>
      <c r="H97" s="2" t="s">
        <v>700</v>
      </c>
      <c r="I97" s="2" t="s">
        <v>1099</v>
      </c>
      <c r="J97" s="2" t="s">
        <v>1109</v>
      </c>
      <c r="K97" s="2" t="s">
        <v>31</v>
      </c>
      <c r="L97" s="2" t="s">
        <v>1110</v>
      </c>
      <c r="M97" s="2" t="s">
        <v>33</v>
      </c>
      <c r="N97" s="2" t="s">
        <v>34</v>
      </c>
      <c r="O97" s="2" t="s">
        <v>35</v>
      </c>
      <c r="P97" s="3">
        <v>1425.94</v>
      </c>
      <c r="Q97" s="2">
        <v>1271595754</v>
      </c>
      <c r="R97" s="2" t="s">
        <v>1111</v>
      </c>
      <c r="S97" s="2" t="s">
        <v>357</v>
      </c>
      <c r="T97" s="2">
        <v>125</v>
      </c>
      <c r="U97" s="2" t="s">
        <v>188</v>
      </c>
      <c r="V97" s="2" t="s">
        <v>1112</v>
      </c>
      <c r="W97" s="5">
        <f>IF(I97="","",DATE(2000+MID(I97,8,2),MATCH(MID(I97,4,3),{"Jan","Feb","Mar","Apr","May","Jun","Jul","Aug","Sep","Oct","Nov","Dec"},0),1))</f>
        <v>46082</v>
      </c>
      <c r="X97" s="2">
        <f t="shared" si="2"/>
        <v>6528.38</v>
      </c>
      <c r="Y97" s="2">
        <f t="shared" si="3"/>
        <v>951</v>
      </c>
    </row>
    <row r="98" spans="1:25" x14ac:dyDescent="0.25">
      <c r="A98" s="2" t="s">
        <v>21</v>
      </c>
      <c r="B98" s="2" t="s">
        <v>72</v>
      </c>
      <c r="C98" s="2" t="s">
        <v>349</v>
      </c>
      <c r="D98" s="2" t="s">
        <v>132</v>
      </c>
      <c r="E98" s="2" t="s">
        <v>1023</v>
      </c>
      <c r="F98" s="2" t="s">
        <v>1024</v>
      </c>
      <c r="G98" s="2" t="s">
        <v>725</v>
      </c>
      <c r="H98" s="2" t="s">
        <v>1025</v>
      </c>
      <c r="I98" s="2" t="s">
        <v>1207</v>
      </c>
      <c r="J98" s="2" t="s">
        <v>1285</v>
      </c>
      <c r="K98" s="2" t="s">
        <v>31</v>
      </c>
      <c r="L98" s="2" t="s">
        <v>1286</v>
      </c>
      <c r="M98" s="2" t="s">
        <v>33</v>
      </c>
      <c r="N98" s="2" t="s">
        <v>34</v>
      </c>
      <c r="O98" s="2" t="s">
        <v>35</v>
      </c>
      <c r="P98" s="3">
        <v>771.38</v>
      </c>
      <c r="Q98" s="2">
        <v>1271515206</v>
      </c>
      <c r="R98" s="2" t="s">
        <v>1287</v>
      </c>
      <c r="S98" s="2" t="s">
        <v>357</v>
      </c>
      <c r="T98" s="2">
        <v>125</v>
      </c>
      <c r="U98" s="2" t="s">
        <v>51</v>
      </c>
      <c r="V98" s="2" t="s">
        <v>1288</v>
      </c>
      <c r="W98" s="5">
        <f>IF(I98="","",DATE(2000+MID(I98,8,2),MATCH(MID(I98,4,3),{"Jan","Feb","Mar","Apr","May","Jun","Jul","Aug","Sep","Oct","Nov","Dec"},0),1))</f>
        <v>46082</v>
      </c>
      <c r="X98" s="2">
        <f t="shared" si="2"/>
        <v>3870</v>
      </c>
      <c r="Y98" s="2">
        <f t="shared" si="3"/>
        <v>2146</v>
      </c>
    </row>
    <row r="99" spans="1:25" x14ac:dyDescent="0.25">
      <c r="A99" s="2" t="s">
        <v>21</v>
      </c>
      <c r="B99" s="2" t="s">
        <v>235</v>
      </c>
      <c r="C99" s="2" t="s">
        <v>236</v>
      </c>
      <c r="D99" s="2" t="s">
        <v>237</v>
      </c>
      <c r="E99" s="2" t="s">
        <v>1265</v>
      </c>
      <c r="F99" s="2" t="s">
        <v>1266</v>
      </c>
      <c r="G99" s="2" t="s">
        <v>237</v>
      </c>
      <c r="H99" s="2" t="s">
        <v>1267</v>
      </c>
      <c r="I99" s="2" t="s">
        <v>1268</v>
      </c>
      <c r="J99" s="2" t="s">
        <v>1269</v>
      </c>
      <c r="K99" s="2" t="s">
        <v>31</v>
      </c>
      <c r="L99" s="2" t="s">
        <v>1270</v>
      </c>
      <c r="M99" s="2" t="s">
        <v>33</v>
      </c>
      <c r="N99" s="2" t="s">
        <v>34</v>
      </c>
      <c r="O99" s="2" t="s">
        <v>35</v>
      </c>
      <c r="P99" s="3">
        <v>209.26</v>
      </c>
      <c r="R99" s="2" t="s">
        <v>1271</v>
      </c>
      <c r="S99" s="2" t="s">
        <v>1272</v>
      </c>
      <c r="T99" s="2">
        <v>125</v>
      </c>
      <c r="U99" s="2" t="s">
        <v>38</v>
      </c>
      <c r="W99" s="5">
        <f>IF(I99="","",DATE(2000+MID(I99,8,2),MATCH(MID(I99,4,3),{"Jan","Feb","Mar","Apr","May","Jun","Jul","Aug","Sep","Oct","Nov","Dec"},0),1))</f>
        <v>46082</v>
      </c>
      <c r="X99" s="2">
        <f t="shared" si="2"/>
        <v>65</v>
      </c>
      <c r="Y99" s="2">
        <f t="shared" si="3"/>
        <v>177</v>
      </c>
    </row>
    <row r="100" spans="1:25" x14ac:dyDescent="0.25">
      <c r="A100" s="2" t="s">
        <v>21</v>
      </c>
      <c r="B100" s="2" t="s">
        <v>320</v>
      </c>
      <c r="C100" s="2" t="s">
        <v>321</v>
      </c>
      <c r="D100" s="2" t="s">
        <v>322</v>
      </c>
      <c r="E100" s="2" t="s">
        <v>414</v>
      </c>
      <c r="F100" s="2" t="s">
        <v>415</v>
      </c>
      <c r="G100" s="2" t="s">
        <v>111</v>
      </c>
      <c r="H100" s="2" t="s">
        <v>416</v>
      </c>
      <c r="I100" s="2" t="s">
        <v>819</v>
      </c>
      <c r="J100" s="2" t="s">
        <v>820</v>
      </c>
      <c r="K100" s="2" t="s">
        <v>31</v>
      </c>
      <c r="L100" s="2" t="s">
        <v>821</v>
      </c>
      <c r="M100" s="2" t="s">
        <v>33</v>
      </c>
      <c r="N100" s="2" t="s">
        <v>34</v>
      </c>
      <c r="O100" s="2" t="s">
        <v>35</v>
      </c>
      <c r="P100" s="3">
        <v>129.87</v>
      </c>
      <c r="Q100" s="2">
        <v>341302041</v>
      </c>
      <c r="R100" s="2" t="s">
        <v>822</v>
      </c>
      <c r="S100" s="2" t="s">
        <v>823</v>
      </c>
      <c r="T100" s="2">
        <v>65</v>
      </c>
      <c r="U100" s="2" t="s">
        <v>38</v>
      </c>
      <c r="V100" s="2" t="s">
        <v>824</v>
      </c>
      <c r="W100" s="5">
        <f>IF(I100="","",DATE(2000+MID(I100,8,2),MATCH(MID(I100,4,3),{"Jan","Feb","Mar","Apr","May","Jun","Jul","Aug","Sep","Oct","Nov","Dec"},0),1))</f>
        <v>46054</v>
      </c>
      <c r="X100" s="2">
        <f t="shared" si="2"/>
        <v>106</v>
      </c>
      <c r="Y100" s="2">
        <f t="shared" si="3"/>
        <v>291</v>
      </c>
    </row>
    <row r="101" spans="1:25" x14ac:dyDescent="0.25">
      <c r="A101" s="2" t="s">
        <v>21</v>
      </c>
      <c r="B101" s="2" t="s">
        <v>1297</v>
      </c>
      <c r="C101" s="2" t="s">
        <v>1298</v>
      </c>
      <c r="D101" s="2" t="s">
        <v>628</v>
      </c>
      <c r="E101" s="2" t="s">
        <v>1299</v>
      </c>
      <c r="F101" s="2" t="s">
        <v>1300</v>
      </c>
      <c r="G101" s="2" t="s">
        <v>1301</v>
      </c>
      <c r="H101" s="2" t="s">
        <v>1302</v>
      </c>
      <c r="I101" s="2" t="s">
        <v>1534</v>
      </c>
      <c r="J101" s="2" t="s">
        <v>1535</v>
      </c>
      <c r="K101" s="2" t="s">
        <v>31</v>
      </c>
      <c r="L101" s="2" t="s">
        <v>1536</v>
      </c>
      <c r="M101" s="2" t="s">
        <v>33</v>
      </c>
      <c r="N101" s="2" t="s">
        <v>1318</v>
      </c>
      <c r="O101" s="2" t="s">
        <v>1319</v>
      </c>
      <c r="P101" s="3">
        <v>321.27</v>
      </c>
      <c r="Q101" s="2">
        <v>413889076</v>
      </c>
      <c r="R101" s="2" t="s">
        <v>1537</v>
      </c>
      <c r="S101" s="2" t="s">
        <v>1538</v>
      </c>
      <c r="T101" s="2">
        <v>65</v>
      </c>
      <c r="U101" s="2" t="s">
        <v>119</v>
      </c>
      <c r="V101" s="2" t="s">
        <v>1539</v>
      </c>
      <c r="W101" s="5">
        <f>IF(I101="","",DATE(2000+MID(I101,8,2),MATCH(MID(I101,4,3),{"Jan","Feb","Mar","Apr","May","Jun","Jul","Aug","Sep","Oct","Nov","Dec"},0),1))</f>
        <v>46023</v>
      </c>
      <c r="X101" s="2">
        <f t="shared" si="2"/>
        <v>4553.6400000000003</v>
      </c>
      <c r="Y101" s="2">
        <f t="shared" si="3"/>
        <v>118</v>
      </c>
    </row>
    <row r="102" spans="1:25" x14ac:dyDescent="0.25">
      <c r="A102" s="2" t="s">
        <v>21</v>
      </c>
      <c r="B102" s="2" t="s">
        <v>72</v>
      </c>
      <c r="C102" s="2" t="s">
        <v>1049</v>
      </c>
      <c r="D102" s="2" t="s">
        <v>219</v>
      </c>
      <c r="E102" s="2" t="s">
        <v>1050</v>
      </c>
      <c r="F102" s="2" t="s">
        <v>1051</v>
      </c>
      <c r="G102" s="2" t="s">
        <v>227</v>
      </c>
      <c r="H102" s="2" t="s">
        <v>1052</v>
      </c>
      <c r="I102" s="2" t="s">
        <v>1043</v>
      </c>
      <c r="J102" s="2" t="s">
        <v>1053</v>
      </c>
      <c r="K102" s="2" t="s">
        <v>31</v>
      </c>
      <c r="L102" s="2" t="s">
        <v>1054</v>
      </c>
      <c r="M102" s="2" t="s">
        <v>33</v>
      </c>
      <c r="N102" s="2" t="s">
        <v>34</v>
      </c>
      <c r="O102" s="2" t="s">
        <v>35</v>
      </c>
      <c r="P102" s="3">
        <v>171.72</v>
      </c>
      <c r="Q102" s="2">
        <v>1210800180</v>
      </c>
      <c r="R102" s="2" t="s">
        <v>1055</v>
      </c>
      <c r="S102" s="2" t="s">
        <v>1056</v>
      </c>
      <c r="T102" s="2">
        <v>65</v>
      </c>
      <c r="U102" s="2" t="s">
        <v>38</v>
      </c>
      <c r="V102" s="2" t="s">
        <v>1057</v>
      </c>
      <c r="W102" s="5">
        <f>IF(I102="","",DATE(2000+MID(I102,8,2),MATCH(MID(I102,4,3),{"Jan","Feb","Mar","Apr","May","Jun","Jul","Aug","Sep","Oct","Nov","Dec"},0),1))</f>
        <v>46054</v>
      </c>
      <c r="X102" s="2">
        <f t="shared" si="2"/>
        <v>527.16999999999996</v>
      </c>
      <c r="Y102" s="2">
        <f t="shared" si="3"/>
        <v>225</v>
      </c>
    </row>
    <row r="103" spans="1:25" x14ac:dyDescent="0.25">
      <c r="A103" s="2" t="s">
        <v>21</v>
      </c>
      <c r="B103" s="2" t="s">
        <v>339</v>
      </c>
      <c r="C103" s="2" t="s">
        <v>340</v>
      </c>
      <c r="D103" s="2" t="s">
        <v>74</v>
      </c>
      <c r="E103" s="2" t="s">
        <v>72</v>
      </c>
      <c r="F103" s="2" t="s">
        <v>341</v>
      </c>
      <c r="G103" s="2" t="s">
        <v>322</v>
      </c>
      <c r="H103" s="2" t="s">
        <v>342</v>
      </c>
      <c r="I103" s="2" t="s">
        <v>343</v>
      </c>
      <c r="J103" s="2" t="s">
        <v>344</v>
      </c>
      <c r="K103" s="2" t="s">
        <v>31</v>
      </c>
      <c r="L103" s="2" t="s">
        <v>345</v>
      </c>
      <c r="M103" s="2" t="s">
        <v>33</v>
      </c>
      <c r="N103" s="2" t="s">
        <v>34</v>
      </c>
      <c r="O103" s="2" t="s">
        <v>35</v>
      </c>
      <c r="P103" s="3">
        <v>198.25</v>
      </c>
      <c r="Q103" s="2">
        <v>1842466846</v>
      </c>
      <c r="R103" s="2" t="s">
        <v>346</v>
      </c>
      <c r="S103" s="2" t="s">
        <v>347</v>
      </c>
      <c r="T103" s="2">
        <v>65</v>
      </c>
      <c r="U103" s="2" t="s">
        <v>38</v>
      </c>
      <c r="V103" s="2" t="s">
        <v>348</v>
      </c>
      <c r="W103" s="5">
        <f>IF(I103="","",DATE(2000+MID(I103,8,2),MATCH(MID(I103,4,3),{"Jan","Feb","Mar","Apr","May","Jun","Jul","Aug","Sep","Oct","Nov","Dec"},0),1))</f>
        <v>45962</v>
      </c>
      <c r="X103" s="2">
        <f t="shared" si="2"/>
        <v>1000</v>
      </c>
      <c r="Y103" s="2">
        <f t="shared" si="3"/>
        <v>1102</v>
      </c>
    </row>
    <row r="104" spans="1:25" x14ac:dyDescent="0.25">
      <c r="A104" s="2" t="s">
        <v>21</v>
      </c>
      <c r="B104" s="2" t="s">
        <v>712</v>
      </c>
      <c r="C104" s="2" t="s">
        <v>713</v>
      </c>
      <c r="D104" s="2" t="s">
        <v>111</v>
      </c>
      <c r="E104" s="2" t="s">
        <v>714</v>
      </c>
      <c r="F104" s="2" t="s">
        <v>715</v>
      </c>
      <c r="G104" s="2" t="s">
        <v>65</v>
      </c>
      <c r="H104" s="2" t="s">
        <v>716</v>
      </c>
      <c r="I104" s="2" t="s">
        <v>717</v>
      </c>
      <c r="J104" s="2" t="s">
        <v>718</v>
      </c>
      <c r="K104" s="2" t="s">
        <v>31</v>
      </c>
      <c r="L104" s="2" t="s">
        <v>719</v>
      </c>
      <c r="M104" s="2" t="s">
        <v>33</v>
      </c>
      <c r="N104" s="2" t="s">
        <v>34</v>
      </c>
      <c r="O104" s="2" t="s">
        <v>35</v>
      </c>
      <c r="P104" s="3">
        <v>128.02000000000001</v>
      </c>
      <c r="Q104" s="2">
        <v>107988138</v>
      </c>
      <c r="R104" s="2" t="s">
        <v>720</v>
      </c>
      <c r="S104" s="2" t="s">
        <v>721</v>
      </c>
      <c r="T104" s="2">
        <v>65</v>
      </c>
      <c r="U104" s="2" t="s">
        <v>38</v>
      </c>
      <c r="V104" s="2" t="s">
        <v>722</v>
      </c>
      <c r="W104" s="5">
        <f>IF(I104="","",DATE(2000+MID(I104,8,2),MATCH(MID(I104,4,3),{"Jan","Feb","Mar","Apr","May","Jun","Jul","Aug","Sep","Oct","Nov","Dec"},0),1))</f>
        <v>46023</v>
      </c>
      <c r="X104" s="2">
        <f t="shared" si="2"/>
        <v>240</v>
      </c>
      <c r="Y104" s="2">
        <f t="shared" si="3"/>
        <v>545</v>
      </c>
    </row>
    <row r="105" spans="1:25" x14ac:dyDescent="0.25">
      <c r="A105" s="2" t="s">
        <v>21</v>
      </c>
      <c r="B105" s="2" t="s">
        <v>225</v>
      </c>
      <c r="C105" s="2" t="s">
        <v>226</v>
      </c>
      <c r="D105" s="2" t="s">
        <v>227</v>
      </c>
      <c r="E105" s="2" t="s">
        <v>753</v>
      </c>
      <c r="F105" s="2" t="s">
        <v>754</v>
      </c>
      <c r="G105" s="2" t="s">
        <v>74</v>
      </c>
      <c r="H105" s="2" t="s">
        <v>755</v>
      </c>
      <c r="I105" s="2" t="s">
        <v>756</v>
      </c>
      <c r="J105" s="2" t="s">
        <v>757</v>
      </c>
      <c r="K105" s="2" t="s">
        <v>31</v>
      </c>
      <c r="L105" s="2" t="s">
        <v>758</v>
      </c>
      <c r="M105" s="2" t="s">
        <v>33</v>
      </c>
      <c r="N105" s="2" t="s">
        <v>34</v>
      </c>
      <c r="O105" s="2" t="s">
        <v>35</v>
      </c>
      <c r="P105" s="3">
        <v>1357.61</v>
      </c>
      <c r="Q105" s="2">
        <v>831752073</v>
      </c>
      <c r="R105" s="2" t="s">
        <v>759</v>
      </c>
      <c r="S105" s="2" t="s">
        <v>760</v>
      </c>
      <c r="T105" s="2">
        <v>65</v>
      </c>
      <c r="U105" s="2" t="s">
        <v>363</v>
      </c>
      <c r="V105" s="2" t="s">
        <v>761</v>
      </c>
      <c r="W105" s="5">
        <f>IF(I105="","",DATE(2000+MID(I105,8,2),MATCH(MID(I105,4,3),{"Jan","Feb","Mar","Apr","May","Jun","Jul","Aug","Sep","Oct","Nov","Dec"},0),1))</f>
        <v>46023</v>
      </c>
      <c r="X105" s="2">
        <f t="shared" si="2"/>
        <v>8870.4</v>
      </c>
      <c r="Y105" s="2">
        <f t="shared" si="3"/>
        <v>1373</v>
      </c>
    </row>
    <row r="106" spans="1:25" x14ac:dyDescent="0.25">
      <c r="A106" s="2" t="s">
        <v>21</v>
      </c>
      <c r="B106" s="2" t="s">
        <v>225</v>
      </c>
      <c r="C106" s="2" t="s">
        <v>226</v>
      </c>
      <c r="D106" s="2" t="s">
        <v>227</v>
      </c>
      <c r="E106" s="2" t="s">
        <v>792</v>
      </c>
      <c r="F106" s="2" t="s">
        <v>793</v>
      </c>
      <c r="G106" s="2" t="s">
        <v>65</v>
      </c>
      <c r="H106" s="2" t="s">
        <v>794</v>
      </c>
      <c r="I106" s="2" t="s">
        <v>795</v>
      </c>
      <c r="J106" s="2" t="s">
        <v>796</v>
      </c>
      <c r="K106" s="2" t="s">
        <v>31</v>
      </c>
      <c r="L106" s="2" t="s">
        <v>797</v>
      </c>
      <c r="M106" s="2" t="s">
        <v>33</v>
      </c>
      <c r="N106" s="2" t="s">
        <v>34</v>
      </c>
      <c r="O106" s="2" t="s">
        <v>35</v>
      </c>
      <c r="P106" s="3">
        <v>962.68</v>
      </c>
      <c r="Q106" s="2">
        <v>831833903</v>
      </c>
      <c r="R106" s="2" t="s">
        <v>798</v>
      </c>
      <c r="S106" s="2" t="s">
        <v>760</v>
      </c>
      <c r="T106" s="2">
        <v>65</v>
      </c>
      <c r="U106" s="2" t="s">
        <v>188</v>
      </c>
      <c r="V106" s="2" t="s">
        <v>799</v>
      </c>
      <c r="W106" s="5">
        <f>IF(I106="","",DATE(2000+MID(I106,8,2),MATCH(MID(I106,4,3),{"Jan","Feb","Mar","Apr","May","Jun","Jul","Aug","Sep","Oct","Nov","Dec"},0),1))</f>
        <v>46023</v>
      </c>
      <c r="X106" s="2">
        <f t="shared" si="2"/>
        <v>5376</v>
      </c>
      <c r="Y106" s="2">
        <f t="shared" si="3"/>
        <v>1201</v>
      </c>
    </row>
    <row r="107" spans="1:25" x14ac:dyDescent="0.25">
      <c r="A107" s="2" t="s">
        <v>21</v>
      </c>
      <c r="B107" s="2" t="s">
        <v>22</v>
      </c>
      <c r="C107" s="2" t="s">
        <v>23</v>
      </c>
      <c r="D107" s="2" t="s">
        <v>24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31</v>
      </c>
      <c r="L107" s="2" t="s">
        <v>32</v>
      </c>
      <c r="M107" s="2" t="s">
        <v>33</v>
      </c>
      <c r="N107" s="2" t="s">
        <v>34</v>
      </c>
      <c r="O107" s="2" t="s">
        <v>35</v>
      </c>
      <c r="P107" s="3">
        <v>214.51</v>
      </c>
      <c r="Q107" s="2">
        <v>650616965</v>
      </c>
      <c r="R107" s="2" t="s">
        <v>36</v>
      </c>
      <c r="S107" s="2" t="s">
        <v>37</v>
      </c>
      <c r="T107" s="2">
        <v>65</v>
      </c>
      <c r="U107" s="2" t="s">
        <v>38</v>
      </c>
      <c r="V107" s="2" t="s">
        <v>39</v>
      </c>
      <c r="W107" s="5">
        <f>IF(I107="","",DATE(2000+MID(I107,8,2),MATCH(MID(I107,4,3),{"Jan","Feb","Mar","Apr","May","Jun","Jul","Aug","Sep","Oct","Nov","Dec"},0),1))</f>
        <v>45931</v>
      </c>
      <c r="X107" s="2">
        <f t="shared" si="2"/>
        <v>1224</v>
      </c>
      <c r="Y107" s="2">
        <f t="shared" si="3"/>
        <v>326</v>
      </c>
    </row>
    <row r="108" spans="1:25" x14ac:dyDescent="0.25">
      <c r="A108" s="2" t="s">
        <v>21</v>
      </c>
      <c r="B108" s="2" t="s">
        <v>121</v>
      </c>
      <c r="C108" s="2" t="s">
        <v>122</v>
      </c>
      <c r="D108" s="2" t="s">
        <v>74</v>
      </c>
      <c r="E108" s="2" t="s">
        <v>123</v>
      </c>
      <c r="F108" s="2" t="s">
        <v>124</v>
      </c>
      <c r="G108" s="2" t="s">
        <v>74</v>
      </c>
      <c r="H108" s="2" t="s">
        <v>125</v>
      </c>
      <c r="I108" s="2" t="s">
        <v>103</v>
      </c>
      <c r="J108" s="2" t="s">
        <v>126</v>
      </c>
      <c r="K108" s="2" t="s">
        <v>31</v>
      </c>
      <c r="L108" s="2" t="s">
        <v>127</v>
      </c>
      <c r="M108" s="2" t="s">
        <v>33</v>
      </c>
      <c r="N108" s="2" t="s">
        <v>34</v>
      </c>
      <c r="O108" s="2" t="s">
        <v>35</v>
      </c>
      <c r="P108" s="3">
        <v>230.49</v>
      </c>
      <c r="Q108" s="2">
        <v>1652743104</v>
      </c>
      <c r="R108" s="2" t="s">
        <v>128</v>
      </c>
      <c r="S108" s="2" t="s">
        <v>129</v>
      </c>
      <c r="T108" s="2">
        <v>65</v>
      </c>
      <c r="U108" s="2" t="s">
        <v>38</v>
      </c>
      <c r="V108" s="2" t="s">
        <v>130</v>
      </c>
      <c r="W108" s="5">
        <f>IF(I108="","",DATE(2000+MID(I108,8,2),MATCH(MID(I108,4,3),{"Jan","Feb","Mar","Apr","May","Jun","Jul","Aug","Sep","Oct","Nov","Dec"},0),1))</f>
        <v>45931</v>
      </c>
      <c r="X108" s="2">
        <f t="shared" si="2"/>
        <v>71</v>
      </c>
      <c r="Y108" s="2">
        <f t="shared" si="3"/>
        <v>233</v>
      </c>
    </row>
    <row r="109" spans="1:25" x14ac:dyDescent="0.25">
      <c r="A109" s="2" t="s">
        <v>21</v>
      </c>
      <c r="B109" s="2" t="s">
        <v>72</v>
      </c>
      <c r="C109" s="2" t="s">
        <v>131</v>
      </c>
      <c r="D109" s="2" t="s">
        <v>132</v>
      </c>
      <c r="E109" s="2" t="s">
        <v>72</v>
      </c>
      <c r="F109" s="2" t="s">
        <v>151</v>
      </c>
      <c r="G109" s="2" t="s">
        <v>152</v>
      </c>
      <c r="H109" s="2" t="s">
        <v>153</v>
      </c>
      <c r="I109" s="2" t="s">
        <v>154</v>
      </c>
      <c r="J109" s="2" t="s">
        <v>155</v>
      </c>
      <c r="K109" s="2" t="s">
        <v>31</v>
      </c>
      <c r="L109" s="2" t="s">
        <v>156</v>
      </c>
      <c r="M109" s="2" t="s">
        <v>33</v>
      </c>
      <c r="N109" s="2" t="s">
        <v>34</v>
      </c>
      <c r="O109" s="2" t="s">
        <v>35</v>
      </c>
      <c r="P109" s="3">
        <v>196.58</v>
      </c>
      <c r="R109" s="2" t="s">
        <v>157</v>
      </c>
      <c r="S109" s="2" t="s">
        <v>129</v>
      </c>
      <c r="T109" s="2">
        <v>65</v>
      </c>
      <c r="U109" s="2" t="s">
        <v>38</v>
      </c>
      <c r="W109" s="5">
        <f>IF(I109="","",DATE(2000+MID(I109,8,2),MATCH(MID(I109,4,3),{"Jan","Feb","Mar","Apr","May","Jun","Jul","Aug","Sep","Oct","Nov","Dec"},0),1))</f>
        <v>45931</v>
      </c>
      <c r="X109" s="2">
        <f t="shared" si="2"/>
        <v>960</v>
      </c>
      <c r="Y109" s="2">
        <f t="shared" si="3"/>
        <v>584</v>
      </c>
    </row>
    <row r="110" spans="1:25" x14ac:dyDescent="0.25">
      <c r="A110" s="2" t="s">
        <v>21</v>
      </c>
      <c r="B110" s="2" t="s">
        <v>173</v>
      </c>
      <c r="C110" s="2" t="s">
        <v>174</v>
      </c>
      <c r="D110" s="2" t="s">
        <v>98</v>
      </c>
      <c r="E110" s="2" t="s">
        <v>244</v>
      </c>
      <c r="F110" s="2" t="s">
        <v>100</v>
      </c>
      <c r="G110" s="2" t="s">
        <v>101</v>
      </c>
      <c r="H110" s="2" t="s">
        <v>271</v>
      </c>
      <c r="I110" s="2" t="s">
        <v>265</v>
      </c>
      <c r="J110" s="2" t="s">
        <v>266</v>
      </c>
      <c r="K110" s="2" t="s">
        <v>31</v>
      </c>
      <c r="L110" s="2" t="s">
        <v>272</v>
      </c>
      <c r="M110" s="2" t="s">
        <v>33</v>
      </c>
      <c r="N110" s="2" t="s">
        <v>34</v>
      </c>
      <c r="O110" s="2" t="s">
        <v>35</v>
      </c>
      <c r="P110" s="3">
        <v>154.16999999999999</v>
      </c>
      <c r="Q110" s="2">
        <v>391413127</v>
      </c>
      <c r="R110" s="2" t="s">
        <v>273</v>
      </c>
      <c r="S110" s="2" t="s">
        <v>129</v>
      </c>
      <c r="T110" s="2">
        <v>65</v>
      </c>
      <c r="U110" s="2" t="s">
        <v>38</v>
      </c>
      <c r="V110" s="2" t="s">
        <v>274</v>
      </c>
      <c r="W110" s="5">
        <f>IF(I110="","",DATE(2000+MID(I110,8,2),MATCH(MID(I110,4,3),{"Jan","Feb","Mar","Apr","May","Jun","Jul","Aug","Sep","Oct","Nov","Dec"},0),1))</f>
        <v>45931</v>
      </c>
      <c r="X110" s="2">
        <f t="shared" si="2"/>
        <v>1260.03</v>
      </c>
      <c r="Y110" s="2">
        <f t="shared" si="3"/>
        <v>343</v>
      </c>
    </row>
    <row r="111" spans="1:25" x14ac:dyDescent="0.25">
      <c r="A111" s="2" t="s">
        <v>21</v>
      </c>
      <c r="B111" s="2" t="s">
        <v>173</v>
      </c>
      <c r="C111" s="2" t="s">
        <v>174</v>
      </c>
      <c r="D111" s="2" t="s">
        <v>98</v>
      </c>
      <c r="E111" s="2" t="s">
        <v>310</v>
      </c>
      <c r="F111" s="2" t="s">
        <v>311</v>
      </c>
      <c r="G111" s="2" t="s">
        <v>135</v>
      </c>
      <c r="H111" s="2" t="s">
        <v>1017</v>
      </c>
      <c r="I111" s="2" t="s">
        <v>265</v>
      </c>
      <c r="J111" s="2" t="s">
        <v>266</v>
      </c>
      <c r="K111" s="2" t="s">
        <v>31</v>
      </c>
      <c r="L111" s="2" t="s">
        <v>891</v>
      </c>
      <c r="M111" s="2" t="s">
        <v>33</v>
      </c>
      <c r="N111" s="2" t="s">
        <v>1318</v>
      </c>
      <c r="O111" s="2" t="s">
        <v>1319</v>
      </c>
      <c r="P111" s="3">
        <v>248.74</v>
      </c>
      <c r="Q111" s="2">
        <v>453924921</v>
      </c>
      <c r="R111" s="2" t="s">
        <v>273</v>
      </c>
      <c r="S111" s="2" t="s">
        <v>129</v>
      </c>
      <c r="T111" s="2">
        <v>65</v>
      </c>
      <c r="U111" s="2" t="s">
        <v>119</v>
      </c>
      <c r="V111" s="2" t="s">
        <v>1430</v>
      </c>
      <c r="W111" s="5">
        <f>IF(I111="","",DATE(2000+MID(I111,8,2),MATCH(MID(I111,4,3),{"Jan","Feb","Mar","Apr","May","Jun","Jul","Aug","Sep","Oct","Nov","Dec"},0),1))</f>
        <v>45931</v>
      </c>
      <c r="X111" s="2">
        <f t="shared" si="2"/>
        <v>2520.06</v>
      </c>
      <c r="Y111" s="2">
        <f t="shared" si="3"/>
        <v>314</v>
      </c>
    </row>
    <row r="112" spans="1:25" x14ac:dyDescent="0.25">
      <c r="A112" s="2" t="s">
        <v>21</v>
      </c>
      <c r="B112" s="2" t="s">
        <v>173</v>
      </c>
      <c r="C112" s="2" t="s">
        <v>174</v>
      </c>
      <c r="D112" s="2" t="s">
        <v>98</v>
      </c>
      <c r="E112" s="2" t="s">
        <v>175</v>
      </c>
      <c r="F112" s="2" t="s">
        <v>176</v>
      </c>
      <c r="G112" s="2" t="s">
        <v>111</v>
      </c>
      <c r="H112" s="2" t="s">
        <v>177</v>
      </c>
      <c r="I112" s="2" t="s">
        <v>1218</v>
      </c>
      <c r="J112" s="2" t="s">
        <v>947</v>
      </c>
      <c r="K112" s="2" t="s">
        <v>31</v>
      </c>
      <c r="L112" s="2" t="s">
        <v>187</v>
      </c>
      <c r="M112" s="2" t="s">
        <v>33</v>
      </c>
      <c r="N112" s="2" t="s">
        <v>1318</v>
      </c>
      <c r="O112" s="2" t="s">
        <v>1319</v>
      </c>
      <c r="P112" s="3">
        <v>295.7</v>
      </c>
      <c r="Q112" s="2">
        <v>485440822</v>
      </c>
      <c r="R112" s="2" t="s">
        <v>1219</v>
      </c>
      <c r="S112" s="2" t="s">
        <v>1570</v>
      </c>
      <c r="T112" s="2">
        <v>65</v>
      </c>
      <c r="U112" s="2" t="s">
        <v>188</v>
      </c>
      <c r="V112" s="2" t="s">
        <v>1571</v>
      </c>
      <c r="W112" s="5">
        <f>IF(I112="","",DATE(2000+MID(I112,8,2),MATCH(MID(I112,4,3),{"Jan","Feb","Mar","Apr","May","Jun","Jul","Aug","Sep","Oct","Nov","Dec"},0),1))</f>
        <v>46082</v>
      </c>
      <c r="X112" s="2">
        <f t="shared" si="2"/>
        <v>5040.12</v>
      </c>
      <c r="Y112" s="2">
        <f t="shared" si="3"/>
        <v>169</v>
      </c>
    </row>
    <row r="113" spans="1:25" x14ac:dyDescent="0.25">
      <c r="A113" s="2" t="s">
        <v>21</v>
      </c>
      <c r="B113" s="2" t="s">
        <v>72</v>
      </c>
      <c r="C113" s="2" t="s">
        <v>151</v>
      </c>
      <c r="D113" s="2" t="s">
        <v>152</v>
      </c>
      <c r="E113" s="2" t="s">
        <v>626</v>
      </c>
      <c r="F113" s="2" t="s">
        <v>627</v>
      </c>
      <c r="G113" s="2" t="s">
        <v>628</v>
      </c>
      <c r="H113" s="2" t="s">
        <v>629</v>
      </c>
      <c r="I113" s="2" t="s">
        <v>621</v>
      </c>
      <c r="J113" s="2" t="s">
        <v>630</v>
      </c>
      <c r="K113" s="2" t="s">
        <v>31</v>
      </c>
      <c r="L113" s="2" t="s">
        <v>202</v>
      </c>
      <c r="M113" s="2" t="s">
        <v>33</v>
      </c>
      <c r="N113" s="2" t="s">
        <v>34</v>
      </c>
      <c r="O113" s="2" t="s">
        <v>35</v>
      </c>
      <c r="P113" s="3">
        <v>173.94</v>
      </c>
      <c r="Q113" s="2">
        <v>1360549031</v>
      </c>
      <c r="R113" s="2" t="s">
        <v>631</v>
      </c>
      <c r="S113" s="2" t="s">
        <v>632</v>
      </c>
      <c r="T113" s="2">
        <v>65</v>
      </c>
      <c r="U113" s="2" t="s">
        <v>38</v>
      </c>
      <c r="V113" s="2" t="s">
        <v>633</v>
      </c>
      <c r="W113" s="5">
        <f>IF(I113="","",DATE(2000+MID(I113,8,2),MATCH(MID(I113,4,3),{"Jan","Feb","Mar","Apr","May","Jun","Jul","Aug","Sep","Oct","Nov","Dec"},0),1))</f>
        <v>46023</v>
      </c>
      <c r="X113" s="2">
        <f t="shared" si="2"/>
        <v>1200</v>
      </c>
      <c r="Y113" s="2">
        <f t="shared" si="3"/>
        <v>395</v>
      </c>
    </row>
    <row r="114" spans="1:25" x14ac:dyDescent="0.25">
      <c r="A114" s="2" t="s">
        <v>21</v>
      </c>
      <c r="B114" s="2" t="s">
        <v>173</v>
      </c>
      <c r="C114" s="2" t="s">
        <v>174</v>
      </c>
      <c r="D114" s="2" t="s">
        <v>98</v>
      </c>
      <c r="E114" s="2" t="s">
        <v>184</v>
      </c>
      <c r="F114" s="2" t="s">
        <v>185</v>
      </c>
      <c r="G114" s="2" t="s">
        <v>42</v>
      </c>
      <c r="H114" s="2" t="s">
        <v>186</v>
      </c>
      <c r="I114" s="2" t="s">
        <v>1218</v>
      </c>
      <c r="J114" s="2" t="s">
        <v>947</v>
      </c>
      <c r="K114" s="2" t="s">
        <v>31</v>
      </c>
      <c r="L114" s="2" t="s">
        <v>187</v>
      </c>
      <c r="M114" s="2" t="s">
        <v>33</v>
      </c>
      <c r="N114" s="2" t="s">
        <v>34</v>
      </c>
      <c r="O114" s="2" t="s">
        <v>35</v>
      </c>
      <c r="P114" s="3">
        <v>564.12</v>
      </c>
      <c r="Q114" s="2">
        <v>391422084</v>
      </c>
      <c r="R114" s="2" t="s">
        <v>1219</v>
      </c>
      <c r="S114" s="2" t="s">
        <v>632</v>
      </c>
      <c r="T114" s="2">
        <v>65</v>
      </c>
      <c r="U114" s="2" t="s">
        <v>188</v>
      </c>
      <c r="V114" s="2" t="s">
        <v>1220</v>
      </c>
      <c r="W114" s="5">
        <f>IF(I114="","",DATE(2000+MID(I114,8,2),MATCH(MID(I114,4,3),{"Jan","Feb","Mar","Apr","May","Jun","Jul","Aug","Sep","Oct","Nov","Dec"},0),1))</f>
        <v>46082</v>
      </c>
      <c r="X114" s="2">
        <f t="shared" si="2"/>
        <v>5040.12</v>
      </c>
      <c r="Y114" s="2">
        <f t="shared" si="3"/>
        <v>419</v>
      </c>
    </row>
    <row r="115" spans="1:25" x14ac:dyDescent="0.25">
      <c r="A115" s="2" t="s">
        <v>21</v>
      </c>
      <c r="B115" s="2" t="s">
        <v>84</v>
      </c>
      <c r="C115" s="2" t="s">
        <v>85</v>
      </c>
      <c r="D115" s="2" t="s">
        <v>42</v>
      </c>
      <c r="E115" s="2" t="s">
        <v>86</v>
      </c>
      <c r="F115" s="2" t="s">
        <v>87</v>
      </c>
      <c r="G115" s="2" t="s">
        <v>88</v>
      </c>
      <c r="H115" s="2" t="s">
        <v>89</v>
      </c>
      <c r="I115" s="2" t="s">
        <v>90</v>
      </c>
      <c r="J115" s="2" t="s">
        <v>91</v>
      </c>
      <c r="K115" s="2" t="s">
        <v>31</v>
      </c>
      <c r="L115" s="2" t="s">
        <v>92</v>
      </c>
      <c r="M115" s="2" t="s">
        <v>33</v>
      </c>
      <c r="N115" s="2" t="s">
        <v>34</v>
      </c>
      <c r="O115" s="2" t="s">
        <v>35</v>
      </c>
      <c r="P115" s="3">
        <v>188.52</v>
      </c>
      <c r="Q115" s="2">
        <v>245509946</v>
      </c>
      <c r="R115" s="2" t="s">
        <v>93</v>
      </c>
      <c r="S115" s="2" t="s">
        <v>94</v>
      </c>
      <c r="T115" s="2">
        <v>65</v>
      </c>
      <c r="U115" s="2" t="s">
        <v>38</v>
      </c>
      <c r="V115" s="2" t="s">
        <v>95</v>
      </c>
      <c r="W115" s="5">
        <f>IF(I115="","",DATE(2000+MID(I115,8,2),MATCH(MID(I115,4,3),{"Jan","Feb","Mar","Apr","May","Jun","Jul","Aug","Sep","Oct","Nov","Dec"},0),1))</f>
        <v>45931</v>
      </c>
      <c r="X115" s="2">
        <f t="shared" si="2"/>
        <v>1020</v>
      </c>
      <c r="Y115" s="2">
        <f t="shared" si="3"/>
        <v>667</v>
      </c>
    </row>
    <row r="116" spans="1:25" x14ac:dyDescent="0.25">
      <c r="A116" s="2" t="s">
        <v>21</v>
      </c>
      <c r="B116" s="2" t="s">
        <v>406</v>
      </c>
      <c r="C116" s="2" t="s">
        <v>278</v>
      </c>
      <c r="D116" s="2" t="s">
        <v>132</v>
      </c>
      <c r="E116" s="2" t="s">
        <v>318</v>
      </c>
      <c r="F116" s="2" t="s">
        <v>319</v>
      </c>
      <c r="G116" s="2" t="s">
        <v>98</v>
      </c>
      <c r="H116" s="2" t="s">
        <v>407</v>
      </c>
      <c r="I116" s="2" t="s">
        <v>408</v>
      </c>
      <c r="J116" s="2" t="s">
        <v>409</v>
      </c>
      <c r="K116" s="2" t="s">
        <v>31</v>
      </c>
      <c r="L116" s="2" t="s">
        <v>410</v>
      </c>
      <c r="M116" s="2" t="s">
        <v>33</v>
      </c>
      <c r="N116" s="2" t="s">
        <v>34</v>
      </c>
      <c r="O116" s="2" t="s">
        <v>35</v>
      </c>
      <c r="P116" s="3">
        <v>132.33000000000001</v>
      </c>
      <c r="Q116" s="2">
        <v>1180204476</v>
      </c>
      <c r="R116" s="2" t="s">
        <v>411</v>
      </c>
      <c r="S116" s="2" t="s">
        <v>412</v>
      </c>
      <c r="T116" s="2">
        <v>65</v>
      </c>
      <c r="U116" s="2" t="s">
        <v>38</v>
      </c>
      <c r="V116" s="2" t="s">
        <v>413</v>
      </c>
      <c r="W116" s="5">
        <f>IF(I116="","",DATE(2000+MID(I116,8,2),MATCH(MID(I116,4,3),{"Jan","Feb","Mar","Apr","May","Jun","Jul","Aug","Sep","Oct","Nov","Dec"},0),1))</f>
        <v>45962</v>
      </c>
      <c r="X116" s="2">
        <f t="shared" si="2"/>
        <v>296</v>
      </c>
      <c r="Y116" s="2">
        <f t="shared" si="3"/>
        <v>319</v>
      </c>
    </row>
    <row r="117" spans="1:25" x14ac:dyDescent="0.25">
      <c r="A117" s="2" t="s">
        <v>21</v>
      </c>
      <c r="B117" s="2" t="s">
        <v>72</v>
      </c>
      <c r="C117" s="2" t="s">
        <v>465</v>
      </c>
      <c r="D117" s="2" t="s">
        <v>88</v>
      </c>
      <c r="E117" s="2" t="s">
        <v>466</v>
      </c>
      <c r="F117" s="2" t="s">
        <v>467</v>
      </c>
      <c r="G117" s="2" t="s">
        <v>111</v>
      </c>
      <c r="H117" s="2" t="s">
        <v>468</v>
      </c>
      <c r="I117" s="2" t="s">
        <v>571</v>
      </c>
      <c r="J117" s="2" t="s">
        <v>572</v>
      </c>
      <c r="K117" s="2" t="s">
        <v>31</v>
      </c>
      <c r="L117" s="2" t="s">
        <v>577</v>
      </c>
      <c r="M117" s="2" t="s">
        <v>33</v>
      </c>
      <c r="N117" s="2" t="s">
        <v>34</v>
      </c>
      <c r="O117" s="2" t="s">
        <v>35</v>
      </c>
      <c r="P117" s="3">
        <v>128.02000000000001</v>
      </c>
      <c r="Q117" s="2">
        <v>473452619</v>
      </c>
      <c r="R117" s="2" t="s">
        <v>578</v>
      </c>
      <c r="S117" s="2" t="s">
        <v>412</v>
      </c>
      <c r="T117" s="2">
        <v>65</v>
      </c>
      <c r="U117" s="2" t="s">
        <v>38</v>
      </c>
      <c r="V117" s="2" t="s">
        <v>576</v>
      </c>
      <c r="W117" s="5">
        <f>IF(I117="","",DATE(2000+MID(I117,8,2),MATCH(MID(I117,4,3),{"Jan","Feb","Mar","Apr","May","Jun","Jul","Aug","Sep","Oct","Nov","Dec"},0),1))</f>
        <v>45992</v>
      </c>
      <c r="X117" s="2">
        <f t="shared" si="2"/>
        <v>90</v>
      </c>
      <c r="Y117" s="2">
        <f t="shared" si="3"/>
        <v>127</v>
      </c>
    </row>
    <row r="118" spans="1:25" x14ac:dyDescent="0.25">
      <c r="A118" s="2" t="s">
        <v>21</v>
      </c>
      <c r="B118" s="2" t="s">
        <v>72</v>
      </c>
      <c r="C118" s="2" t="s">
        <v>73</v>
      </c>
      <c r="D118" s="2" t="s">
        <v>74</v>
      </c>
      <c r="E118" s="2" t="s">
        <v>189</v>
      </c>
      <c r="F118" s="2" t="s">
        <v>190</v>
      </c>
      <c r="G118" s="2" t="s">
        <v>191</v>
      </c>
      <c r="H118" s="2" t="s">
        <v>192</v>
      </c>
      <c r="I118" s="2" t="s">
        <v>656</v>
      </c>
      <c r="J118" s="2" t="s">
        <v>657</v>
      </c>
      <c r="K118" s="2" t="s">
        <v>31</v>
      </c>
      <c r="L118" s="2" t="s">
        <v>658</v>
      </c>
      <c r="M118" s="2" t="s">
        <v>33</v>
      </c>
      <c r="N118" s="2" t="s">
        <v>34</v>
      </c>
      <c r="O118" s="2" t="s">
        <v>35</v>
      </c>
      <c r="P118" s="3">
        <v>206.97</v>
      </c>
      <c r="Q118" s="2">
        <v>1842518685</v>
      </c>
      <c r="R118" s="2" t="s">
        <v>659</v>
      </c>
      <c r="S118" s="2" t="s">
        <v>412</v>
      </c>
      <c r="T118" s="2">
        <v>65</v>
      </c>
      <c r="U118" s="2" t="s">
        <v>38</v>
      </c>
      <c r="V118" s="2" t="s">
        <v>660</v>
      </c>
      <c r="W118" s="5">
        <f>IF(I118="","",DATE(2000+MID(I118,8,2),MATCH(MID(I118,4,3),{"Jan","Feb","Mar","Apr","May","Jun","Jul","Aug","Sep","Oct","Nov","Dec"},0),1))</f>
        <v>46023</v>
      </c>
      <c r="X118" s="2">
        <f t="shared" si="2"/>
        <v>900</v>
      </c>
      <c r="Y118" s="2">
        <f t="shared" si="3"/>
        <v>523</v>
      </c>
    </row>
    <row r="119" spans="1:25" x14ac:dyDescent="0.25">
      <c r="A119" s="2" t="s">
        <v>21</v>
      </c>
      <c r="B119" s="2" t="s">
        <v>72</v>
      </c>
      <c r="C119" s="2" t="s">
        <v>252</v>
      </c>
      <c r="D119" s="2" t="s">
        <v>65</v>
      </c>
      <c r="E119" s="2" t="s">
        <v>747</v>
      </c>
      <c r="F119" s="2" t="s">
        <v>748</v>
      </c>
      <c r="G119" s="2" t="s">
        <v>65</v>
      </c>
      <c r="H119" s="2" t="s">
        <v>749</v>
      </c>
      <c r="I119" s="2" t="s">
        <v>717</v>
      </c>
      <c r="J119" s="2" t="s">
        <v>718</v>
      </c>
      <c r="K119" s="2" t="s">
        <v>31</v>
      </c>
      <c r="L119" s="2" t="s">
        <v>750</v>
      </c>
      <c r="M119" s="2" t="s">
        <v>33</v>
      </c>
      <c r="N119" s="2" t="s">
        <v>34</v>
      </c>
      <c r="O119" s="2" t="s">
        <v>35</v>
      </c>
      <c r="P119" s="3">
        <v>128.02000000000001</v>
      </c>
      <c r="Q119" s="2">
        <v>452252686</v>
      </c>
      <c r="R119" s="2" t="s">
        <v>751</v>
      </c>
      <c r="S119" s="2" t="s">
        <v>412</v>
      </c>
      <c r="T119" s="2">
        <v>65</v>
      </c>
      <c r="U119" s="2" t="s">
        <v>38</v>
      </c>
      <c r="V119" s="2" t="s">
        <v>752</v>
      </c>
      <c r="W119" s="5">
        <f>IF(I119="","",DATE(2000+MID(I119,8,2),MATCH(MID(I119,4,3),{"Jan","Feb","Mar","Apr","May","Jun","Jul","Aug","Sep","Oct","Nov","Dec"},0),1))</f>
        <v>46023</v>
      </c>
      <c r="X119" s="2">
        <f t="shared" si="2"/>
        <v>585.6</v>
      </c>
      <c r="Y119" s="2">
        <f t="shared" si="3"/>
        <v>206</v>
      </c>
    </row>
    <row r="120" spans="1:25" x14ac:dyDescent="0.25">
      <c r="A120" s="2" t="s">
        <v>21</v>
      </c>
      <c r="B120" s="2" t="s">
        <v>72</v>
      </c>
      <c r="C120" s="2" t="s">
        <v>465</v>
      </c>
      <c r="D120" s="2" t="s">
        <v>88</v>
      </c>
      <c r="E120" s="2" t="s">
        <v>568</v>
      </c>
      <c r="F120" s="2" t="s">
        <v>569</v>
      </c>
      <c r="G120" s="2" t="s">
        <v>111</v>
      </c>
      <c r="H120" s="2" t="s">
        <v>570</v>
      </c>
      <c r="I120" s="2" t="s">
        <v>571</v>
      </c>
      <c r="J120" s="2" t="s">
        <v>572</v>
      </c>
      <c r="K120" s="2" t="s">
        <v>31</v>
      </c>
      <c r="L120" s="2" t="s">
        <v>573</v>
      </c>
      <c r="M120" s="2" t="s">
        <v>33</v>
      </c>
      <c r="N120" s="2" t="s">
        <v>34</v>
      </c>
      <c r="O120" s="2" t="s">
        <v>35</v>
      </c>
      <c r="P120" s="3">
        <v>128.02000000000001</v>
      </c>
      <c r="Q120" s="2">
        <v>473452622</v>
      </c>
      <c r="R120" s="2" t="s">
        <v>574</v>
      </c>
      <c r="S120" s="2" t="s">
        <v>575</v>
      </c>
      <c r="T120" s="2">
        <v>65</v>
      </c>
      <c r="U120" s="2" t="s">
        <v>38</v>
      </c>
      <c r="V120" s="2" t="s">
        <v>576</v>
      </c>
      <c r="W120" s="5">
        <f>IF(I120="","",DATE(2000+MID(I120,8,2),MATCH(MID(I120,4,3),{"Jan","Feb","Mar","Apr","May","Jun","Jul","Aug","Sep","Oct","Nov","Dec"},0),1))</f>
        <v>45992</v>
      </c>
      <c r="X120" s="2">
        <f t="shared" si="2"/>
        <v>140.55000000000001</v>
      </c>
      <c r="Y120" s="2">
        <f t="shared" si="3"/>
        <v>155</v>
      </c>
    </row>
    <row r="121" spans="1:25" x14ac:dyDescent="0.25">
      <c r="A121" s="2" t="s">
        <v>21</v>
      </c>
      <c r="B121" s="2" t="s">
        <v>531</v>
      </c>
      <c r="C121" s="2" t="s">
        <v>532</v>
      </c>
      <c r="D121" s="2" t="s">
        <v>132</v>
      </c>
      <c r="E121" s="2" t="s">
        <v>698</v>
      </c>
      <c r="F121" s="2" t="s">
        <v>699</v>
      </c>
      <c r="G121" s="2" t="s">
        <v>65</v>
      </c>
      <c r="H121" s="2" t="s">
        <v>700</v>
      </c>
      <c r="I121" s="2" t="s">
        <v>777</v>
      </c>
      <c r="J121" s="2" t="s">
        <v>778</v>
      </c>
      <c r="K121" s="2" t="s">
        <v>31</v>
      </c>
      <c r="L121" s="2" t="s">
        <v>779</v>
      </c>
      <c r="M121" s="2" t="s">
        <v>33</v>
      </c>
      <c r="N121" s="2" t="s">
        <v>34</v>
      </c>
      <c r="O121" s="2" t="s">
        <v>35</v>
      </c>
      <c r="P121" s="3">
        <v>1071.8599999999999</v>
      </c>
      <c r="R121" s="2" t="s">
        <v>780</v>
      </c>
      <c r="S121" s="2" t="s">
        <v>781</v>
      </c>
      <c r="T121" s="2">
        <v>125</v>
      </c>
      <c r="U121" s="2" t="s">
        <v>363</v>
      </c>
      <c r="W121" s="5">
        <f>IF(I121="","",DATE(2000+MID(I121,8,2),MATCH(MID(I121,4,3),{"Jan","Feb","Mar","Apr","May","Jun","Jul","Aug","Sep","Oct","Nov","Dec"},0),1))</f>
        <v>46023</v>
      </c>
      <c r="X121" s="2">
        <f t="shared" si="2"/>
        <v>4032.19</v>
      </c>
      <c r="Y121" s="2">
        <f t="shared" si="3"/>
        <v>951</v>
      </c>
    </row>
    <row r="122" spans="1:25" x14ac:dyDescent="0.25">
      <c r="A122" s="2" t="s">
        <v>21</v>
      </c>
      <c r="B122" s="2" t="s">
        <v>320</v>
      </c>
      <c r="C122" s="2" t="s">
        <v>321</v>
      </c>
      <c r="D122" s="2" t="s">
        <v>322</v>
      </c>
      <c r="E122" s="2" t="s">
        <v>414</v>
      </c>
      <c r="F122" s="2" t="s">
        <v>415</v>
      </c>
      <c r="G122" s="2" t="s">
        <v>111</v>
      </c>
      <c r="H122" s="2" t="s">
        <v>416</v>
      </c>
      <c r="I122" s="2" t="s">
        <v>527</v>
      </c>
      <c r="J122" s="2" t="s">
        <v>528</v>
      </c>
      <c r="K122" s="2" t="s">
        <v>31</v>
      </c>
      <c r="L122" s="2" t="s">
        <v>538</v>
      </c>
      <c r="M122" s="2" t="s">
        <v>33</v>
      </c>
      <c r="N122" s="2" t="s">
        <v>34</v>
      </c>
      <c r="O122" s="2" t="s">
        <v>35</v>
      </c>
      <c r="P122" s="3">
        <v>129.26</v>
      </c>
      <c r="R122" s="2" t="s">
        <v>539</v>
      </c>
      <c r="S122" s="2" t="s">
        <v>540</v>
      </c>
      <c r="T122" s="2">
        <v>65</v>
      </c>
      <c r="U122" s="2" t="s">
        <v>71</v>
      </c>
      <c r="W122" s="5">
        <f>IF(I122="","",DATE(2000+MID(I122,8,2),MATCH(MID(I122,4,3),{"Jan","Feb","Mar","Apr","May","Jun","Jul","Aug","Sep","Oct","Nov","Dec"},0),1))</f>
        <v>45992</v>
      </c>
      <c r="X122" s="2">
        <f t="shared" si="2"/>
        <v>702</v>
      </c>
      <c r="Y122" s="2">
        <f t="shared" si="3"/>
        <v>291</v>
      </c>
    </row>
    <row r="123" spans="1:25" x14ac:dyDescent="0.25">
      <c r="A123" s="2" t="s">
        <v>21</v>
      </c>
      <c r="B123" s="2" t="s">
        <v>40</v>
      </c>
      <c r="C123" s="2" t="s">
        <v>41</v>
      </c>
      <c r="D123" s="2" t="s">
        <v>42</v>
      </c>
      <c r="E123" s="2" t="s">
        <v>53</v>
      </c>
      <c r="F123" s="2" t="s">
        <v>54</v>
      </c>
      <c r="G123" s="2" t="s">
        <v>55</v>
      </c>
      <c r="H123" s="2" t="s">
        <v>56</v>
      </c>
      <c r="I123" s="2" t="s">
        <v>544</v>
      </c>
      <c r="J123" s="2" t="s">
        <v>557</v>
      </c>
      <c r="K123" s="2" t="s">
        <v>31</v>
      </c>
      <c r="L123" s="2" t="s">
        <v>48</v>
      </c>
      <c r="M123" s="2" t="s">
        <v>33</v>
      </c>
      <c r="N123" s="2" t="s">
        <v>34</v>
      </c>
      <c r="O123" s="2" t="s">
        <v>35</v>
      </c>
      <c r="P123" s="3">
        <v>585.54999999999995</v>
      </c>
      <c r="Q123" s="2">
        <v>553076796</v>
      </c>
      <c r="R123" s="2" t="s">
        <v>558</v>
      </c>
      <c r="S123" s="2" t="s">
        <v>559</v>
      </c>
      <c r="T123" s="2">
        <v>65</v>
      </c>
      <c r="U123" s="2" t="s">
        <v>119</v>
      </c>
      <c r="V123" s="2" t="s">
        <v>556</v>
      </c>
      <c r="W123" s="5">
        <f>IF(I123="","",DATE(2000+MID(I123,8,2),MATCH(MID(I123,4,3),{"Jan","Feb","Mar","Apr","May","Jun","Jul","Aug","Sep","Oct","Nov","Dec"},0),1))</f>
        <v>45992</v>
      </c>
      <c r="X123" s="2">
        <f t="shared" si="2"/>
        <v>4608</v>
      </c>
      <c r="Y123" s="2">
        <f t="shared" si="3"/>
        <v>344</v>
      </c>
    </row>
    <row r="124" spans="1:25" x14ac:dyDescent="0.25">
      <c r="A124" s="2" t="s">
        <v>21</v>
      </c>
      <c r="B124" s="2" t="s">
        <v>40</v>
      </c>
      <c r="C124" s="2" t="s">
        <v>41</v>
      </c>
      <c r="D124" s="2" t="s">
        <v>42</v>
      </c>
      <c r="E124" s="2" t="s">
        <v>217</v>
      </c>
      <c r="F124" s="2" t="s">
        <v>218</v>
      </c>
      <c r="G124" s="2" t="s">
        <v>219</v>
      </c>
      <c r="H124" s="2" t="s">
        <v>220</v>
      </c>
      <c r="I124" s="2" t="s">
        <v>211</v>
      </c>
      <c r="J124" s="2" t="s">
        <v>212</v>
      </c>
      <c r="K124" s="2" t="s">
        <v>31</v>
      </c>
      <c r="L124" s="2" t="s">
        <v>221</v>
      </c>
      <c r="M124" s="2" t="s">
        <v>33</v>
      </c>
      <c r="N124" s="2" t="s">
        <v>34</v>
      </c>
      <c r="O124" s="2" t="s">
        <v>35</v>
      </c>
      <c r="P124" s="3">
        <v>341.65</v>
      </c>
      <c r="Q124" s="2">
        <v>553076776</v>
      </c>
      <c r="R124" s="2" t="s">
        <v>222</v>
      </c>
      <c r="S124" s="2" t="s">
        <v>223</v>
      </c>
      <c r="T124" s="2">
        <v>65</v>
      </c>
      <c r="U124" s="2" t="s">
        <v>188</v>
      </c>
      <c r="V124" s="2" t="s">
        <v>224</v>
      </c>
      <c r="W124" s="5">
        <f>IF(I124="","",DATE(2000+MID(I124,8,2),MATCH(MID(I124,4,3),{"Jan","Feb","Mar","Apr","May","Jun","Jul","Aug","Sep","Oct","Nov","Dec"},0),1))</f>
        <v>45931</v>
      </c>
      <c r="X124" s="2">
        <f t="shared" si="2"/>
        <v>2304</v>
      </c>
      <c r="Y124" s="2">
        <f t="shared" si="3"/>
        <v>554</v>
      </c>
    </row>
    <row r="125" spans="1:25" x14ac:dyDescent="0.25">
      <c r="A125" s="2" t="s">
        <v>21</v>
      </c>
      <c r="B125" s="2" t="s">
        <v>40</v>
      </c>
      <c r="C125" s="2" t="s">
        <v>41</v>
      </c>
      <c r="D125" s="2" t="s">
        <v>42</v>
      </c>
      <c r="E125" s="2" t="s">
        <v>225</v>
      </c>
      <c r="F125" s="2" t="s">
        <v>226</v>
      </c>
      <c r="G125" s="2" t="s">
        <v>227</v>
      </c>
      <c r="H125" s="2" t="s">
        <v>228</v>
      </c>
      <c r="I125" s="2" t="s">
        <v>211</v>
      </c>
      <c r="J125" s="2" t="s">
        <v>212</v>
      </c>
      <c r="K125" s="2" t="s">
        <v>31</v>
      </c>
      <c r="L125" s="2" t="s">
        <v>229</v>
      </c>
      <c r="M125" s="2" t="s">
        <v>33</v>
      </c>
      <c r="N125" s="2" t="s">
        <v>34</v>
      </c>
      <c r="O125" s="2" t="s">
        <v>35</v>
      </c>
      <c r="P125" s="3">
        <v>197.26</v>
      </c>
      <c r="Q125" s="2">
        <v>552796175</v>
      </c>
      <c r="R125" s="2" t="s">
        <v>222</v>
      </c>
      <c r="S125" s="2" t="s">
        <v>223</v>
      </c>
      <c r="T125" s="2">
        <v>65</v>
      </c>
      <c r="U125" s="2" t="s">
        <v>51</v>
      </c>
      <c r="V125" s="2" t="s">
        <v>224</v>
      </c>
      <c r="W125" s="5">
        <f>IF(I125="","",DATE(2000+MID(I125,8,2),MATCH(MID(I125,4,3),{"Jan","Feb","Mar","Apr","May","Jun","Jul","Aug","Sep","Oct","Nov","Dec"},0),1))</f>
        <v>45931</v>
      </c>
      <c r="X125" s="2">
        <f t="shared" si="2"/>
        <v>1728</v>
      </c>
      <c r="Y125" s="2">
        <f t="shared" si="3"/>
        <v>116</v>
      </c>
    </row>
    <row r="126" spans="1:25" x14ac:dyDescent="0.25">
      <c r="A126" s="2" t="s">
        <v>21</v>
      </c>
      <c r="B126" s="2" t="s">
        <v>40</v>
      </c>
      <c r="C126" s="2" t="s">
        <v>41</v>
      </c>
      <c r="D126" s="2" t="s">
        <v>42</v>
      </c>
      <c r="E126" s="2" t="s">
        <v>53</v>
      </c>
      <c r="F126" s="2" t="s">
        <v>54</v>
      </c>
      <c r="G126" s="2" t="s">
        <v>55</v>
      </c>
      <c r="H126" s="2" t="s">
        <v>56</v>
      </c>
      <c r="I126" s="2" t="s">
        <v>211</v>
      </c>
      <c r="J126" s="2" t="s">
        <v>212</v>
      </c>
      <c r="K126" s="2" t="s">
        <v>31</v>
      </c>
      <c r="L126" s="2" t="s">
        <v>229</v>
      </c>
      <c r="M126" s="2" t="s">
        <v>33</v>
      </c>
      <c r="N126" s="2" t="s">
        <v>34</v>
      </c>
      <c r="O126" s="2" t="s">
        <v>35</v>
      </c>
      <c r="P126" s="3">
        <v>282.99</v>
      </c>
      <c r="Q126" s="2">
        <v>552796174</v>
      </c>
      <c r="R126" s="2" t="s">
        <v>230</v>
      </c>
      <c r="S126" s="2" t="s">
        <v>223</v>
      </c>
      <c r="T126" s="2">
        <v>65</v>
      </c>
      <c r="U126" s="2" t="s">
        <v>51</v>
      </c>
      <c r="V126" s="2" t="s">
        <v>224</v>
      </c>
      <c r="W126" s="5">
        <f>IF(I126="","",DATE(2000+MID(I126,8,2),MATCH(MID(I126,4,3),{"Jan","Feb","Mar","Apr","May","Jun","Jul","Aug","Sep","Oct","Nov","Dec"},0),1))</f>
        <v>45931</v>
      </c>
      <c r="X126" s="2">
        <f t="shared" si="2"/>
        <v>1728</v>
      </c>
      <c r="Y126" s="2">
        <f t="shared" si="3"/>
        <v>344</v>
      </c>
    </row>
    <row r="127" spans="1:25" x14ac:dyDescent="0.25">
      <c r="A127" s="2" t="s">
        <v>21</v>
      </c>
      <c r="B127" s="2" t="s">
        <v>40</v>
      </c>
      <c r="C127" s="2" t="s">
        <v>41</v>
      </c>
      <c r="D127" s="2" t="s">
        <v>42</v>
      </c>
      <c r="E127" s="2" t="s">
        <v>43</v>
      </c>
      <c r="F127" s="2" t="s">
        <v>44</v>
      </c>
      <c r="G127" s="2" t="s">
        <v>24</v>
      </c>
      <c r="H127" s="2" t="s">
        <v>45</v>
      </c>
      <c r="I127" s="2" t="s">
        <v>211</v>
      </c>
      <c r="J127" s="2" t="s">
        <v>231</v>
      </c>
      <c r="K127" s="2" t="s">
        <v>31</v>
      </c>
      <c r="L127" s="2" t="s">
        <v>229</v>
      </c>
      <c r="M127" s="2" t="s">
        <v>33</v>
      </c>
      <c r="N127" s="2" t="s">
        <v>34</v>
      </c>
      <c r="O127" s="2" t="s">
        <v>35</v>
      </c>
      <c r="P127" s="3">
        <v>229.66</v>
      </c>
      <c r="Q127" s="2">
        <v>553076777</v>
      </c>
      <c r="R127" s="2" t="s">
        <v>222</v>
      </c>
      <c r="S127" s="2" t="s">
        <v>223</v>
      </c>
      <c r="T127" s="2">
        <v>65</v>
      </c>
      <c r="U127" s="2" t="s">
        <v>51</v>
      </c>
      <c r="V127" s="2" t="s">
        <v>224</v>
      </c>
      <c r="W127" s="5">
        <f>IF(I127="","",DATE(2000+MID(I127,8,2),MATCH(MID(I127,4,3),{"Jan","Feb","Mar","Apr","May","Jun","Jul","Aug","Sep","Oct","Nov","Dec"},0),1))</f>
        <v>45931</v>
      </c>
      <c r="X127" s="2">
        <f t="shared" si="2"/>
        <v>1728</v>
      </c>
      <c r="Y127" s="2">
        <f t="shared" si="3"/>
        <v>420</v>
      </c>
    </row>
    <row r="128" spans="1:25" x14ac:dyDescent="0.25">
      <c r="A128" s="2" t="s">
        <v>21</v>
      </c>
      <c r="B128" s="2" t="s">
        <v>40</v>
      </c>
      <c r="C128" s="2" t="s">
        <v>41</v>
      </c>
      <c r="D128" s="2" t="s">
        <v>42</v>
      </c>
      <c r="E128" s="2" t="s">
        <v>225</v>
      </c>
      <c r="F128" s="2" t="s">
        <v>226</v>
      </c>
      <c r="G128" s="2" t="s">
        <v>227</v>
      </c>
      <c r="H128" s="2" t="s">
        <v>228</v>
      </c>
      <c r="I128" s="2" t="s">
        <v>200</v>
      </c>
      <c r="J128" s="2" t="s">
        <v>360</v>
      </c>
      <c r="K128" s="2" t="s">
        <v>31</v>
      </c>
      <c r="L128" s="2" t="s">
        <v>361</v>
      </c>
      <c r="M128" s="2" t="s">
        <v>33</v>
      </c>
      <c r="N128" s="2" t="s">
        <v>34</v>
      </c>
      <c r="O128" s="2" t="s">
        <v>35</v>
      </c>
      <c r="P128" s="3">
        <v>491.09</v>
      </c>
      <c r="Q128" s="2">
        <v>553076783</v>
      </c>
      <c r="R128" s="2" t="s">
        <v>362</v>
      </c>
      <c r="S128" s="2" t="s">
        <v>223</v>
      </c>
      <c r="T128" s="2">
        <v>65</v>
      </c>
      <c r="U128" s="2" t="s">
        <v>363</v>
      </c>
      <c r="V128" s="2" t="s">
        <v>364</v>
      </c>
      <c r="W128" s="5">
        <f>IF(I128="","",DATE(2000+MID(I128,8,2),MATCH(MID(I128,4,3),{"Jan","Feb","Mar","Apr","May","Jun","Jul","Aug","Sep","Oct","Nov","Dec"},0),1))</f>
        <v>45962</v>
      </c>
      <c r="X128" s="2">
        <f t="shared" si="2"/>
        <v>4439.76</v>
      </c>
      <c r="Y128" s="2">
        <f t="shared" si="3"/>
        <v>116</v>
      </c>
    </row>
    <row r="129" spans="1:25" x14ac:dyDescent="0.25">
      <c r="A129" s="2" t="s">
        <v>21</v>
      </c>
      <c r="B129" s="2" t="s">
        <v>40</v>
      </c>
      <c r="C129" s="2" t="s">
        <v>41</v>
      </c>
      <c r="D129" s="2" t="s">
        <v>42</v>
      </c>
      <c r="E129" s="2" t="s">
        <v>53</v>
      </c>
      <c r="F129" s="2" t="s">
        <v>54</v>
      </c>
      <c r="G129" s="2" t="s">
        <v>55</v>
      </c>
      <c r="H129" s="2" t="s">
        <v>56</v>
      </c>
      <c r="I129" s="2" t="s">
        <v>440</v>
      </c>
      <c r="J129" s="2" t="s">
        <v>418</v>
      </c>
      <c r="K129" s="2" t="s">
        <v>31</v>
      </c>
      <c r="L129" s="2" t="s">
        <v>441</v>
      </c>
      <c r="M129" s="2" t="s">
        <v>33</v>
      </c>
      <c r="N129" s="2" t="s">
        <v>34</v>
      </c>
      <c r="O129" s="2" t="s">
        <v>35</v>
      </c>
      <c r="P129" s="3">
        <v>581.42999999999995</v>
      </c>
      <c r="Q129" s="2">
        <v>553076946</v>
      </c>
      <c r="R129" s="2" t="s">
        <v>442</v>
      </c>
      <c r="S129" s="2" t="s">
        <v>223</v>
      </c>
      <c r="T129" s="2">
        <v>65</v>
      </c>
      <c r="U129" s="2" t="s">
        <v>182</v>
      </c>
      <c r="V129" s="2" t="s">
        <v>443</v>
      </c>
      <c r="W129" s="5">
        <f>IF(I129="","",DATE(2000+MID(I129,8,2),MATCH(MID(I129,4,3),{"Jan","Feb","Mar","Apr","May","Jun","Jul","Aug","Sep","Oct","Nov","Dec"},0),1))</f>
        <v>45962</v>
      </c>
      <c r="X129" s="2">
        <f t="shared" si="2"/>
        <v>3832</v>
      </c>
      <c r="Y129" s="2">
        <f t="shared" si="3"/>
        <v>344</v>
      </c>
    </row>
    <row r="130" spans="1:25" x14ac:dyDescent="0.25">
      <c r="A130" s="2" t="s">
        <v>21</v>
      </c>
      <c r="B130" s="2" t="s">
        <v>40</v>
      </c>
      <c r="C130" s="2" t="s">
        <v>41</v>
      </c>
      <c r="D130" s="2" t="s">
        <v>42</v>
      </c>
      <c r="E130" s="2" t="s">
        <v>43</v>
      </c>
      <c r="F130" s="2" t="s">
        <v>44</v>
      </c>
      <c r="G130" s="2" t="s">
        <v>24</v>
      </c>
      <c r="H130" s="2" t="s">
        <v>45</v>
      </c>
      <c r="I130" s="2" t="s">
        <v>440</v>
      </c>
      <c r="J130" s="2" t="s">
        <v>444</v>
      </c>
      <c r="K130" s="2" t="s">
        <v>31</v>
      </c>
      <c r="L130" s="2" t="s">
        <v>445</v>
      </c>
      <c r="M130" s="2" t="s">
        <v>33</v>
      </c>
      <c r="N130" s="2" t="s">
        <v>34</v>
      </c>
      <c r="O130" s="2" t="s">
        <v>35</v>
      </c>
      <c r="P130" s="3">
        <v>474.67</v>
      </c>
      <c r="Q130" s="2">
        <v>553076945</v>
      </c>
      <c r="R130" s="2" t="s">
        <v>442</v>
      </c>
      <c r="S130" s="2" t="s">
        <v>223</v>
      </c>
      <c r="T130" s="2">
        <v>65</v>
      </c>
      <c r="U130" s="2" t="s">
        <v>363</v>
      </c>
      <c r="V130" s="2" t="s">
        <v>443</v>
      </c>
      <c r="W130" s="5">
        <f>IF(I130="","",DATE(2000+MID(I130,8,2),MATCH(MID(I130,4,3),{"Jan","Feb","Mar","Apr","May","Jun","Jul","Aug","Sep","Oct","Nov","Dec"},0),1))</f>
        <v>45962</v>
      </c>
      <c r="X130" s="2">
        <f t="shared" si="2"/>
        <v>4513</v>
      </c>
      <c r="Y130" s="2">
        <f t="shared" si="3"/>
        <v>420</v>
      </c>
    </row>
    <row r="131" spans="1:25" x14ac:dyDescent="0.25">
      <c r="A131" s="2" t="s">
        <v>21</v>
      </c>
      <c r="B131" s="2" t="s">
        <v>40</v>
      </c>
      <c r="C131" s="2" t="s">
        <v>41</v>
      </c>
      <c r="D131" s="2" t="s">
        <v>42</v>
      </c>
      <c r="E131" s="2" t="s">
        <v>310</v>
      </c>
      <c r="F131" s="2" t="s">
        <v>311</v>
      </c>
      <c r="G131" s="2" t="s">
        <v>135</v>
      </c>
      <c r="H131" s="2" t="s">
        <v>312</v>
      </c>
      <c r="I131" s="2" t="s">
        <v>440</v>
      </c>
      <c r="J131" s="2" t="s">
        <v>418</v>
      </c>
      <c r="K131" s="2" t="s">
        <v>31</v>
      </c>
      <c r="L131" s="2" t="s">
        <v>445</v>
      </c>
      <c r="M131" s="2" t="s">
        <v>33</v>
      </c>
      <c r="N131" s="2" t="s">
        <v>34</v>
      </c>
      <c r="O131" s="2" t="s">
        <v>35</v>
      </c>
      <c r="P131" s="3">
        <v>520.85</v>
      </c>
      <c r="Q131" s="2">
        <v>553076944</v>
      </c>
      <c r="R131" s="2" t="s">
        <v>442</v>
      </c>
      <c r="S131" s="2" t="s">
        <v>223</v>
      </c>
      <c r="T131" s="2">
        <v>65</v>
      </c>
      <c r="U131" s="2" t="s">
        <v>363</v>
      </c>
      <c r="V131" s="2" t="s">
        <v>443</v>
      </c>
      <c r="W131" s="5">
        <f>IF(I131="","",DATE(2000+MID(I131,8,2),MATCH(MID(I131,4,3),{"Jan","Feb","Mar","Apr","May","Jun","Jul","Aug","Sep","Oct","Nov","Dec"},0),1))</f>
        <v>45962</v>
      </c>
      <c r="X131" s="2">
        <f t="shared" ref="X131:X194" si="4">IF(L131="","",SUBSTITUTE(SUBSTITUTE(L131,",","")," lb",""))*1</f>
        <v>4513</v>
      </c>
      <c r="Y131" s="2">
        <f t="shared" ref="Y131:Y194" si="5">IF(H131="","",SUBSTITUTE(SUBSTITUTE(H131,",","")," mi",""))*1</f>
        <v>339</v>
      </c>
    </row>
    <row r="132" spans="1:25" x14ac:dyDescent="0.25">
      <c r="A132" s="2" t="s">
        <v>21</v>
      </c>
      <c r="B132" s="2" t="s">
        <v>40</v>
      </c>
      <c r="C132" s="2" t="s">
        <v>41</v>
      </c>
      <c r="D132" s="2" t="s">
        <v>42</v>
      </c>
      <c r="E132" s="2" t="s">
        <v>53</v>
      </c>
      <c r="F132" s="2" t="s">
        <v>54</v>
      </c>
      <c r="G132" s="2" t="s">
        <v>55</v>
      </c>
      <c r="H132" s="2" t="s">
        <v>56</v>
      </c>
      <c r="I132" s="2" t="s">
        <v>459</v>
      </c>
      <c r="J132" s="2" t="s">
        <v>478</v>
      </c>
      <c r="K132" s="2" t="s">
        <v>31</v>
      </c>
      <c r="L132" s="2" t="s">
        <v>479</v>
      </c>
      <c r="M132" s="2" t="s">
        <v>33</v>
      </c>
      <c r="N132" s="2" t="s">
        <v>34</v>
      </c>
      <c r="O132" s="2" t="s">
        <v>35</v>
      </c>
      <c r="P132" s="3">
        <v>294.73</v>
      </c>
      <c r="Q132" s="2">
        <v>553076786</v>
      </c>
      <c r="R132" s="2" t="s">
        <v>480</v>
      </c>
      <c r="S132" s="2" t="s">
        <v>223</v>
      </c>
      <c r="T132" s="2">
        <v>65</v>
      </c>
      <c r="U132" s="2" t="s">
        <v>119</v>
      </c>
      <c r="V132" s="2" t="s">
        <v>481</v>
      </c>
      <c r="W132" s="5">
        <f>IF(I132="","",DATE(2000+MID(I132,8,2),MATCH(MID(I132,4,3),{"Jan","Feb","Mar","Apr","May","Jun","Jul","Aug","Sep","Oct","Nov","Dec"},0),1))</f>
        <v>45992</v>
      </c>
      <c r="X132" s="2">
        <f t="shared" si="4"/>
        <v>1592.2</v>
      </c>
      <c r="Y132" s="2">
        <f t="shared" si="5"/>
        <v>344</v>
      </c>
    </row>
    <row r="133" spans="1:25" x14ac:dyDescent="0.25">
      <c r="A133" s="2" t="s">
        <v>21</v>
      </c>
      <c r="B133" s="2" t="s">
        <v>40</v>
      </c>
      <c r="C133" s="2" t="s">
        <v>41</v>
      </c>
      <c r="D133" s="2" t="s">
        <v>42</v>
      </c>
      <c r="E133" s="2" t="s">
        <v>550</v>
      </c>
      <c r="F133" s="2" t="s">
        <v>551</v>
      </c>
      <c r="G133" s="2" t="s">
        <v>27</v>
      </c>
      <c r="H133" s="2" t="s">
        <v>552</v>
      </c>
      <c r="I133" s="2" t="s">
        <v>553</v>
      </c>
      <c r="J133" s="2" t="s">
        <v>554</v>
      </c>
      <c r="K133" s="2" t="s">
        <v>31</v>
      </c>
      <c r="L133" s="2" t="s">
        <v>221</v>
      </c>
      <c r="M133" s="2" t="s">
        <v>33</v>
      </c>
      <c r="N133" s="2" t="s">
        <v>34</v>
      </c>
      <c r="O133" s="2" t="s">
        <v>35</v>
      </c>
      <c r="P133" s="3">
        <v>249.93</v>
      </c>
      <c r="Q133" s="2">
        <v>553076799</v>
      </c>
      <c r="R133" s="2" t="s">
        <v>555</v>
      </c>
      <c r="S133" s="2" t="s">
        <v>223</v>
      </c>
      <c r="T133" s="2">
        <v>65</v>
      </c>
      <c r="U133" s="2" t="s">
        <v>38</v>
      </c>
      <c r="V133" s="2" t="s">
        <v>556</v>
      </c>
      <c r="W133" s="5">
        <f>IF(I133="","",DATE(2000+MID(I133,8,2),MATCH(MID(I133,4,3),{"Jan","Feb","Mar","Apr","May","Jun","Jul","Aug","Sep","Oct","Nov","Dec"},0),1))</f>
        <v>45992</v>
      </c>
      <c r="X133" s="2">
        <f t="shared" si="4"/>
        <v>2304</v>
      </c>
      <c r="Y133" s="2">
        <f t="shared" si="5"/>
        <v>362</v>
      </c>
    </row>
    <row r="134" spans="1:25" x14ac:dyDescent="0.25">
      <c r="A134" s="2" t="s">
        <v>21</v>
      </c>
      <c r="B134" s="2" t="s">
        <v>40</v>
      </c>
      <c r="C134" s="2" t="s">
        <v>41</v>
      </c>
      <c r="D134" s="2" t="s">
        <v>42</v>
      </c>
      <c r="E134" s="2" t="s">
        <v>225</v>
      </c>
      <c r="F134" s="2" t="s">
        <v>226</v>
      </c>
      <c r="G134" s="2" t="s">
        <v>227</v>
      </c>
      <c r="H134" s="2" t="s">
        <v>228</v>
      </c>
      <c r="I134" s="2" t="s">
        <v>544</v>
      </c>
      <c r="J134" s="2" t="s">
        <v>557</v>
      </c>
      <c r="K134" s="2" t="s">
        <v>31</v>
      </c>
      <c r="L134" s="2" t="s">
        <v>560</v>
      </c>
      <c r="M134" s="2" t="s">
        <v>33</v>
      </c>
      <c r="N134" s="2" t="s">
        <v>34</v>
      </c>
      <c r="O134" s="2" t="s">
        <v>35</v>
      </c>
      <c r="P134" s="3">
        <v>337.64</v>
      </c>
      <c r="Q134" s="2">
        <v>553076797</v>
      </c>
      <c r="R134" s="2" t="s">
        <v>558</v>
      </c>
      <c r="S134" s="2" t="s">
        <v>223</v>
      </c>
      <c r="T134" s="2">
        <v>65</v>
      </c>
      <c r="U134" s="2" t="s">
        <v>38</v>
      </c>
      <c r="V134" s="2" t="s">
        <v>556</v>
      </c>
      <c r="W134" s="5">
        <f>IF(I134="","",DATE(2000+MID(I134,8,2),MATCH(MID(I134,4,3),{"Jan","Feb","Mar","Apr","May","Jun","Jul","Aug","Sep","Oct","Nov","Dec"},0),1))</f>
        <v>45992</v>
      </c>
      <c r="X134" s="2">
        <f t="shared" si="4"/>
        <v>3456</v>
      </c>
      <c r="Y134" s="2">
        <f t="shared" si="5"/>
        <v>116</v>
      </c>
    </row>
    <row r="135" spans="1:25" x14ac:dyDescent="0.25">
      <c r="A135" s="2" t="s">
        <v>21</v>
      </c>
      <c r="B135" s="2" t="s">
        <v>40</v>
      </c>
      <c r="C135" s="2" t="s">
        <v>41</v>
      </c>
      <c r="D135" s="2" t="s">
        <v>42</v>
      </c>
      <c r="E135" s="2" t="s">
        <v>217</v>
      </c>
      <c r="F135" s="2" t="s">
        <v>218</v>
      </c>
      <c r="G135" s="2" t="s">
        <v>219</v>
      </c>
      <c r="H135" s="2" t="s">
        <v>220</v>
      </c>
      <c r="I135" s="2" t="s">
        <v>589</v>
      </c>
      <c r="J135" s="2" t="s">
        <v>590</v>
      </c>
      <c r="K135" s="2" t="s">
        <v>31</v>
      </c>
      <c r="L135" s="2" t="s">
        <v>221</v>
      </c>
      <c r="M135" s="2" t="s">
        <v>33</v>
      </c>
      <c r="N135" s="2" t="s">
        <v>34</v>
      </c>
      <c r="O135" s="2" t="s">
        <v>35</v>
      </c>
      <c r="P135" s="3">
        <v>479.59</v>
      </c>
      <c r="Q135" s="2">
        <v>553076803</v>
      </c>
      <c r="R135" s="2" t="s">
        <v>591</v>
      </c>
      <c r="S135" s="2" t="s">
        <v>223</v>
      </c>
      <c r="T135" s="2">
        <v>65</v>
      </c>
      <c r="U135" s="2" t="s">
        <v>51</v>
      </c>
      <c r="V135" s="2" t="s">
        <v>592</v>
      </c>
      <c r="W135" s="5">
        <f>IF(I135="","",DATE(2000+MID(I135,8,2),MATCH(MID(I135,4,3),{"Jan","Feb","Mar","Apr","May","Jun","Jul","Aug","Sep","Oct","Nov","Dec"},0),1))</f>
        <v>45992</v>
      </c>
      <c r="X135" s="2">
        <f t="shared" si="4"/>
        <v>2304</v>
      </c>
      <c r="Y135" s="2">
        <f t="shared" si="5"/>
        <v>554</v>
      </c>
    </row>
    <row r="136" spans="1:25" x14ac:dyDescent="0.25">
      <c r="A136" s="2" t="s">
        <v>21</v>
      </c>
      <c r="B136" s="2" t="s">
        <v>40</v>
      </c>
      <c r="C136" s="2" t="s">
        <v>41</v>
      </c>
      <c r="D136" s="2" t="s">
        <v>42</v>
      </c>
      <c r="E136" s="2" t="s">
        <v>482</v>
      </c>
      <c r="F136" s="2" t="s">
        <v>483</v>
      </c>
      <c r="G136" s="2" t="s">
        <v>382</v>
      </c>
      <c r="H136" s="2" t="s">
        <v>938</v>
      </c>
      <c r="I136" s="2" t="s">
        <v>925</v>
      </c>
      <c r="J136" s="2" t="s">
        <v>926</v>
      </c>
      <c r="K136" s="2" t="s">
        <v>31</v>
      </c>
      <c r="L136" s="2" t="s">
        <v>939</v>
      </c>
      <c r="M136" s="2" t="s">
        <v>33</v>
      </c>
      <c r="N136" s="2" t="s">
        <v>34</v>
      </c>
      <c r="O136" s="2" t="s">
        <v>35</v>
      </c>
      <c r="P136" s="3">
        <v>167.3</v>
      </c>
      <c r="Q136" s="2">
        <v>553076821</v>
      </c>
      <c r="R136" s="2" t="s">
        <v>940</v>
      </c>
      <c r="S136" s="2" t="s">
        <v>941</v>
      </c>
      <c r="T136" s="2">
        <v>65</v>
      </c>
      <c r="U136" s="2" t="s">
        <v>51</v>
      </c>
      <c r="V136" s="2" t="s">
        <v>942</v>
      </c>
      <c r="W136" s="5">
        <f>IF(I136="","",DATE(2000+MID(I136,8,2),MATCH(MID(I136,4,3),{"Jan","Feb","Mar","Apr","May","Jun","Jul","Aug","Sep","Oct","Nov","Dec"},0),1))</f>
        <v>46054</v>
      </c>
      <c r="X136" s="2">
        <f t="shared" si="4"/>
        <v>2198.88</v>
      </c>
      <c r="Y136" s="2">
        <f t="shared" si="5"/>
        <v>91</v>
      </c>
    </row>
    <row r="137" spans="1:25" x14ac:dyDescent="0.25">
      <c r="A137" s="2" t="s">
        <v>21</v>
      </c>
      <c r="B137" s="2" t="s">
        <v>1409</v>
      </c>
      <c r="C137" s="2" t="s">
        <v>1410</v>
      </c>
      <c r="D137" s="2" t="s">
        <v>65</v>
      </c>
      <c r="E137" s="2" t="s">
        <v>875</v>
      </c>
      <c r="F137" s="2" t="s">
        <v>876</v>
      </c>
      <c r="G137" s="2" t="s">
        <v>65</v>
      </c>
      <c r="H137" s="2" t="s">
        <v>877</v>
      </c>
      <c r="I137" s="2" t="s">
        <v>1411</v>
      </c>
      <c r="J137" s="2" t="s">
        <v>1412</v>
      </c>
      <c r="K137" s="2" t="s">
        <v>31</v>
      </c>
      <c r="L137" s="2" t="s">
        <v>1413</v>
      </c>
      <c r="M137" s="2" t="s">
        <v>33</v>
      </c>
      <c r="N137" s="2" t="s">
        <v>1318</v>
      </c>
      <c r="O137" s="2" t="s">
        <v>1319</v>
      </c>
      <c r="P137" s="3">
        <v>136.24</v>
      </c>
      <c r="Q137" s="2">
        <v>452530679</v>
      </c>
      <c r="R137" s="2" t="s">
        <v>1414</v>
      </c>
      <c r="S137" s="2" t="s">
        <v>1415</v>
      </c>
      <c r="T137" s="2">
        <v>65</v>
      </c>
      <c r="U137" s="2" t="s">
        <v>182</v>
      </c>
      <c r="V137" s="2" t="s">
        <v>1411</v>
      </c>
      <c r="W137" s="5">
        <f>IF(I137="","",DATE(2000+MID(I137,8,2),MATCH(MID(I137,4,3),{"Jan","Feb","Mar","Apr","May","Jun","Jul","Aug","Sep","Oct","Nov","Dec"},0),1))</f>
        <v>45931</v>
      </c>
      <c r="X137" s="2">
        <f t="shared" si="4"/>
        <v>10750</v>
      </c>
      <c r="Y137" s="2">
        <f t="shared" si="5"/>
        <v>364</v>
      </c>
    </row>
    <row r="138" spans="1:25" x14ac:dyDescent="0.25">
      <c r="A138" s="2" t="s">
        <v>21</v>
      </c>
      <c r="B138" s="2" t="s">
        <v>72</v>
      </c>
      <c r="C138" s="2" t="s">
        <v>579</v>
      </c>
      <c r="D138" s="2" t="s">
        <v>367</v>
      </c>
      <c r="E138" s="2" t="s">
        <v>1197</v>
      </c>
      <c r="F138" s="2" t="s">
        <v>1198</v>
      </c>
      <c r="G138" s="2" t="s">
        <v>1199</v>
      </c>
      <c r="H138" s="2" t="s">
        <v>1200</v>
      </c>
      <c r="I138" s="2" t="s">
        <v>1201</v>
      </c>
      <c r="J138" s="2" t="s">
        <v>1249</v>
      </c>
      <c r="K138" s="2" t="s">
        <v>31</v>
      </c>
      <c r="L138" s="2" t="s">
        <v>1250</v>
      </c>
      <c r="M138" s="2" t="s">
        <v>33</v>
      </c>
      <c r="N138" s="2" t="s">
        <v>34</v>
      </c>
      <c r="O138" s="2" t="s">
        <v>35</v>
      </c>
      <c r="P138" s="3">
        <v>333.49</v>
      </c>
      <c r="Q138" s="2">
        <v>1381688654</v>
      </c>
      <c r="R138" s="2" t="s">
        <v>1251</v>
      </c>
      <c r="S138" s="2" t="s">
        <v>1252</v>
      </c>
      <c r="T138" s="2">
        <v>65</v>
      </c>
      <c r="U138" s="2" t="s">
        <v>38</v>
      </c>
      <c r="V138" s="2" t="s">
        <v>1206</v>
      </c>
      <c r="W138" s="5">
        <f>IF(I138="","",DATE(2000+MID(I138,8,2),MATCH(MID(I138,4,3),{"Jan","Feb","Mar","Apr","May","Jun","Jul","Aug","Sep","Oct","Nov","Dec"},0),1))</f>
        <v>46082</v>
      </c>
      <c r="X138" s="2">
        <f t="shared" si="4"/>
        <v>874.61</v>
      </c>
      <c r="Y138" s="2">
        <f t="shared" si="5"/>
        <v>418</v>
      </c>
    </row>
    <row r="139" spans="1:25" x14ac:dyDescent="0.25">
      <c r="A139" s="2" t="s">
        <v>21</v>
      </c>
      <c r="B139" s="2" t="s">
        <v>792</v>
      </c>
      <c r="C139" s="2" t="s">
        <v>793</v>
      </c>
      <c r="D139" s="2" t="s">
        <v>65</v>
      </c>
      <c r="E139" s="2" t="s">
        <v>423</v>
      </c>
      <c r="F139" s="2" t="s">
        <v>424</v>
      </c>
      <c r="G139" s="2" t="s">
        <v>65</v>
      </c>
      <c r="H139" s="2" t="s">
        <v>1211</v>
      </c>
      <c r="I139" s="2" t="s">
        <v>1212</v>
      </c>
      <c r="J139" s="2" t="s">
        <v>1213</v>
      </c>
      <c r="K139" s="2" t="s">
        <v>31</v>
      </c>
      <c r="L139" s="2" t="s">
        <v>1214</v>
      </c>
      <c r="M139" s="2" t="s">
        <v>33</v>
      </c>
      <c r="N139" s="2" t="s">
        <v>34</v>
      </c>
      <c r="O139" s="2" t="s">
        <v>35</v>
      </c>
      <c r="P139" s="3">
        <v>144.63999999999999</v>
      </c>
      <c r="Q139" s="2">
        <v>482502608</v>
      </c>
      <c r="R139" s="2" t="s">
        <v>1215</v>
      </c>
      <c r="S139" s="2" t="s">
        <v>1216</v>
      </c>
      <c r="T139" s="2">
        <v>65</v>
      </c>
      <c r="U139" s="2" t="s">
        <v>38</v>
      </c>
      <c r="V139" s="2" t="s">
        <v>1217</v>
      </c>
      <c r="W139" s="5">
        <f>IF(I139="","",DATE(2000+MID(I139,8,2),MATCH(MID(I139,4,3),{"Jan","Feb","Mar","Apr","May","Jun","Jul","Aug","Sep","Oct","Nov","Dec"},0),1))</f>
        <v>46082</v>
      </c>
      <c r="X139" s="2">
        <f t="shared" si="4"/>
        <v>469.8</v>
      </c>
      <c r="Y139" s="2">
        <f t="shared" si="5"/>
        <v>425</v>
      </c>
    </row>
    <row r="140" spans="1:25" x14ac:dyDescent="0.25">
      <c r="A140" s="2" t="s">
        <v>21</v>
      </c>
      <c r="B140" s="2" t="s">
        <v>1526</v>
      </c>
      <c r="C140" s="2" t="s">
        <v>924</v>
      </c>
      <c r="D140" s="2" t="s">
        <v>65</v>
      </c>
      <c r="E140" s="2" t="s">
        <v>423</v>
      </c>
      <c r="F140" s="2" t="s">
        <v>424</v>
      </c>
      <c r="G140" s="2" t="s">
        <v>65</v>
      </c>
      <c r="H140" s="2" t="s">
        <v>1527</v>
      </c>
      <c r="I140" s="2" t="s">
        <v>1528</v>
      </c>
      <c r="J140" s="2" t="s">
        <v>1529</v>
      </c>
      <c r="K140" s="2" t="s">
        <v>31</v>
      </c>
      <c r="L140" s="2" t="s">
        <v>1530</v>
      </c>
      <c r="M140" s="2" t="s">
        <v>33</v>
      </c>
      <c r="N140" s="2" t="s">
        <v>1318</v>
      </c>
      <c r="O140" s="2" t="s">
        <v>1319</v>
      </c>
      <c r="P140" s="3">
        <v>135.26</v>
      </c>
      <c r="Q140" s="2">
        <v>467214182</v>
      </c>
      <c r="R140" s="2" t="s">
        <v>1531</v>
      </c>
      <c r="S140" s="2" t="s">
        <v>1532</v>
      </c>
      <c r="T140" s="2">
        <v>65</v>
      </c>
      <c r="U140" s="2" t="s">
        <v>38</v>
      </c>
      <c r="V140" s="2" t="s">
        <v>1533</v>
      </c>
      <c r="W140" s="5">
        <f>IF(I140="","",DATE(2000+MID(I140,8,2),MATCH(MID(I140,4,3),{"Jan","Feb","Mar","Apr","May","Jun","Jul","Aug","Sep","Oct","Nov","Dec"},0),1))</f>
        <v>46023</v>
      </c>
      <c r="X140" s="2">
        <f t="shared" si="4"/>
        <v>1044</v>
      </c>
      <c r="Y140" s="2">
        <f t="shared" si="5"/>
        <v>354</v>
      </c>
    </row>
    <row r="141" spans="1:25" x14ac:dyDescent="0.25">
      <c r="A141" s="2" t="s">
        <v>21</v>
      </c>
      <c r="B141" s="2" t="s">
        <v>339</v>
      </c>
      <c r="C141" s="2" t="s">
        <v>340</v>
      </c>
      <c r="D141" s="2" t="s">
        <v>74</v>
      </c>
      <c r="E141" s="2" t="s">
        <v>75</v>
      </c>
      <c r="F141" s="2" t="s">
        <v>76</v>
      </c>
      <c r="G141" s="2" t="s">
        <v>74</v>
      </c>
      <c r="H141" s="2" t="s">
        <v>77</v>
      </c>
      <c r="I141" s="2" t="s">
        <v>1403</v>
      </c>
      <c r="J141" s="2" t="s">
        <v>1404</v>
      </c>
      <c r="K141" s="2" t="s">
        <v>31</v>
      </c>
      <c r="L141" s="2" t="s">
        <v>1405</v>
      </c>
      <c r="M141" s="2" t="s">
        <v>33</v>
      </c>
      <c r="N141" s="2" t="s">
        <v>1318</v>
      </c>
      <c r="O141" s="2" t="s">
        <v>1319</v>
      </c>
      <c r="P141" s="3">
        <v>108.94</v>
      </c>
      <c r="Q141" s="2">
        <v>449873498</v>
      </c>
      <c r="R141" s="2" t="s">
        <v>1406</v>
      </c>
      <c r="S141" s="2" t="s">
        <v>1407</v>
      </c>
      <c r="T141" s="2">
        <v>65</v>
      </c>
      <c r="U141" s="2" t="s">
        <v>71</v>
      </c>
      <c r="V141" s="2" t="s">
        <v>1408</v>
      </c>
      <c r="W141" s="5">
        <f>IF(I141="","",DATE(2000+MID(I141,8,2),MATCH(MID(I141,4,3),{"Jan","Feb","Mar","Apr","May","Jun","Jul","Aug","Sep","Oct","Nov","Dec"},0),1))</f>
        <v>45931</v>
      </c>
      <c r="X141" s="2">
        <f t="shared" si="4"/>
        <v>350</v>
      </c>
      <c r="Y141" s="2">
        <f t="shared" si="5"/>
        <v>586</v>
      </c>
    </row>
    <row r="142" spans="1:25" x14ac:dyDescent="0.25">
      <c r="A142" s="2" t="s">
        <v>21</v>
      </c>
      <c r="B142" s="2" t="s">
        <v>244</v>
      </c>
      <c r="C142" s="2" t="s">
        <v>100</v>
      </c>
      <c r="D142" s="2" t="s">
        <v>101</v>
      </c>
      <c r="E142" s="2" t="s">
        <v>414</v>
      </c>
      <c r="F142" s="2" t="s">
        <v>415</v>
      </c>
      <c r="G142" s="2" t="s">
        <v>111</v>
      </c>
      <c r="H142" s="2" t="s">
        <v>516</v>
      </c>
      <c r="I142" s="2" t="s">
        <v>510</v>
      </c>
      <c r="J142" s="2" t="s">
        <v>517</v>
      </c>
      <c r="K142" s="2" t="s">
        <v>31</v>
      </c>
      <c r="L142" s="2" t="s">
        <v>518</v>
      </c>
      <c r="M142" s="2" t="s">
        <v>33</v>
      </c>
      <c r="N142" s="2" t="s">
        <v>34</v>
      </c>
      <c r="O142" s="2" t="s">
        <v>35</v>
      </c>
      <c r="P142" s="3">
        <v>129.87</v>
      </c>
      <c r="Q142" s="2">
        <v>15393479</v>
      </c>
      <c r="R142" s="2" t="s">
        <v>519</v>
      </c>
      <c r="S142" s="2" t="s">
        <v>520</v>
      </c>
      <c r="T142" s="2">
        <v>65</v>
      </c>
      <c r="U142" s="2" t="s">
        <v>38</v>
      </c>
      <c r="V142" s="2" t="s">
        <v>521</v>
      </c>
      <c r="W142" s="5">
        <f>IF(I142="","",DATE(2000+MID(I142,8,2),MATCH(MID(I142,4,3),{"Jan","Feb","Mar","Apr","May","Jun","Jul","Aug","Sep","Oct","Nov","Dec"},0),1))</f>
        <v>45992</v>
      </c>
      <c r="X142" s="2">
        <f t="shared" si="4"/>
        <v>445.83</v>
      </c>
      <c r="Y142" s="2">
        <f t="shared" si="5"/>
        <v>136</v>
      </c>
    </row>
    <row r="143" spans="1:25" x14ac:dyDescent="0.25">
      <c r="A143" s="2" t="s">
        <v>21</v>
      </c>
      <c r="B143" s="2" t="s">
        <v>293</v>
      </c>
      <c r="C143" s="2" t="s">
        <v>218</v>
      </c>
      <c r="D143" s="2" t="s">
        <v>219</v>
      </c>
      <c r="E143" s="2" t="s">
        <v>294</v>
      </c>
      <c r="F143" s="2" t="s">
        <v>295</v>
      </c>
      <c r="G143" s="2" t="s">
        <v>296</v>
      </c>
      <c r="H143" s="2" t="s">
        <v>297</v>
      </c>
      <c r="I143" s="2" t="s">
        <v>298</v>
      </c>
      <c r="J143" s="2" t="s">
        <v>299</v>
      </c>
      <c r="K143" s="2" t="s">
        <v>31</v>
      </c>
      <c r="L143" s="2" t="s">
        <v>300</v>
      </c>
      <c r="M143" s="2" t="s">
        <v>33</v>
      </c>
      <c r="N143" s="2" t="s">
        <v>34</v>
      </c>
      <c r="O143" s="2" t="s">
        <v>35</v>
      </c>
      <c r="P143" s="3">
        <v>330.5</v>
      </c>
      <c r="Q143" s="2">
        <v>1210796784</v>
      </c>
      <c r="R143" s="2" t="s">
        <v>301</v>
      </c>
      <c r="S143" s="2" t="s">
        <v>302</v>
      </c>
      <c r="T143" s="2">
        <v>65</v>
      </c>
      <c r="U143" s="2" t="s">
        <v>38</v>
      </c>
      <c r="V143" s="2" t="s">
        <v>303</v>
      </c>
      <c r="W143" s="5">
        <f>IF(I143="","",DATE(2000+MID(I143,8,2),MATCH(MID(I143,4,3),{"Jan","Feb","Mar","Apr","May","Jun","Jul","Aug","Sep","Oct","Nov","Dec"},0),1))</f>
        <v>45962</v>
      </c>
      <c r="X143" s="2">
        <f t="shared" si="4"/>
        <v>1334.11</v>
      </c>
      <c r="Y143" s="2">
        <f t="shared" si="5"/>
        <v>1445</v>
      </c>
    </row>
    <row r="144" spans="1:25" x14ac:dyDescent="0.25">
      <c r="A144" s="2" t="s">
        <v>21</v>
      </c>
      <c r="B144" s="2" t="s">
        <v>261</v>
      </c>
      <c r="C144" s="2" t="s">
        <v>262</v>
      </c>
      <c r="D144" s="2" t="s">
        <v>263</v>
      </c>
      <c r="E144" s="2" t="s">
        <v>184</v>
      </c>
      <c r="F144" s="2" t="s">
        <v>185</v>
      </c>
      <c r="G144" s="2" t="s">
        <v>42</v>
      </c>
      <c r="H144" s="2" t="s">
        <v>264</v>
      </c>
      <c r="I144" s="2" t="s">
        <v>304</v>
      </c>
      <c r="J144" s="2" t="s">
        <v>305</v>
      </c>
      <c r="K144" s="2" t="s">
        <v>31</v>
      </c>
      <c r="L144" s="2" t="s">
        <v>306</v>
      </c>
      <c r="M144" s="2" t="s">
        <v>33</v>
      </c>
      <c r="N144" s="2" t="s">
        <v>34</v>
      </c>
      <c r="O144" s="2" t="s">
        <v>35</v>
      </c>
      <c r="P144" s="3">
        <v>131.1</v>
      </c>
      <c r="Q144" s="2">
        <v>1510240404</v>
      </c>
      <c r="R144" s="2" t="s">
        <v>307</v>
      </c>
      <c r="S144" s="2" t="s">
        <v>308</v>
      </c>
      <c r="T144" s="2">
        <v>65</v>
      </c>
      <c r="U144" s="2" t="s">
        <v>38</v>
      </c>
      <c r="V144" s="2" t="s">
        <v>309</v>
      </c>
      <c r="W144" s="5">
        <f>IF(I144="","",DATE(2000+MID(I144,8,2),MATCH(MID(I144,4,3),{"Jan","Feb","Mar","Apr","May","Jun","Jul","Aug","Sep","Oct","Nov","Dec"},0),1))</f>
        <v>45962</v>
      </c>
      <c r="X144" s="2">
        <f t="shared" si="4"/>
        <v>386.84</v>
      </c>
      <c r="Y144" s="2">
        <f t="shared" si="5"/>
        <v>166</v>
      </c>
    </row>
    <row r="145" spans="1:25" x14ac:dyDescent="0.25">
      <c r="A145" s="2" t="s">
        <v>21</v>
      </c>
      <c r="B145" s="2" t="s">
        <v>72</v>
      </c>
      <c r="C145" s="2" t="s">
        <v>131</v>
      </c>
      <c r="D145" s="2" t="s">
        <v>132</v>
      </c>
      <c r="E145" s="2" t="s">
        <v>165</v>
      </c>
      <c r="F145" s="2" t="s">
        <v>166</v>
      </c>
      <c r="G145" s="2" t="s">
        <v>135</v>
      </c>
      <c r="H145" s="2" t="s">
        <v>167</v>
      </c>
      <c r="I145" s="2" t="s">
        <v>168</v>
      </c>
      <c r="J145" s="2" t="s">
        <v>169</v>
      </c>
      <c r="K145" s="2" t="s">
        <v>31</v>
      </c>
      <c r="L145" s="2" t="s">
        <v>146</v>
      </c>
      <c r="M145" s="2" t="s">
        <v>33</v>
      </c>
      <c r="N145" s="2" t="s">
        <v>34</v>
      </c>
      <c r="O145" s="2" t="s">
        <v>35</v>
      </c>
      <c r="P145" s="3">
        <v>204.7</v>
      </c>
      <c r="Q145" s="2">
        <v>1180214710</v>
      </c>
      <c r="R145" s="2" t="s">
        <v>170</v>
      </c>
      <c r="S145" s="2" t="s">
        <v>171</v>
      </c>
      <c r="T145" s="2">
        <v>65</v>
      </c>
      <c r="U145" s="2" t="s">
        <v>38</v>
      </c>
      <c r="V145" s="2" t="s">
        <v>172</v>
      </c>
      <c r="W145" s="5">
        <f>IF(I145="","",DATE(2000+MID(I145,8,2),MATCH(MID(I145,4,3),{"Jan","Feb","Mar","Apr","May","Jun","Jul","Aug","Sep","Oct","Nov","Dec"},0),1))</f>
        <v>45931</v>
      </c>
      <c r="X145" s="2">
        <f t="shared" si="4"/>
        <v>2250</v>
      </c>
      <c r="Y145" s="2">
        <f t="shared" si="5"/>
        <v>154</v>
      </c>
    </row>
    <row r="146" spans="1:25" x14ac:dyDescent="0.25">
      <c r="A146" s="2" t="s">
        <v>21</v>
      </c>
      <c r="B146" s="2" t="s">
        <v>72</v>
      </c>
      <c r="C146" s="2" t="s">
        <v>131</v>
      </c>
      <c r="D146" s="2" t="s">
        <v>132</v>
      </c>
      <c r="E146" s="2" t="s">
        <v>683</v>
      </c>
      <c r="F146" s="2" t="s">
        <v>286</v>
      </c>
      <c r="G146" s="2" t="s">
        <v>427</v>
      </c>
      <c r="H146" s="2" t="s">
        <v>684</v>
      </c>
      <c r="I146" s="2" t="s">
        <v>685</v>
      </c>
      <c r="J146" s="2" t="s">
        <v>686</v>
      </c>
      <c r="K146" s="2" t="s">
        <v>31</v>
      </c>
      <c r="L146" s="2" t="s">
        <v>687</v>
      </c>
      <c r="M146" s="2" t="s">
        <v>33</v>
      </c>
      <c r="N146" s="2" t="s">
        <v>34</v>
      </c>
      <c r="O146" s="2" t="s">
        <v>35</v>
      </c>
      <c r="P146" s="3">
        <v>703.53</v>
      </c>
      <c r="Q146" s="2">
        <v>1180218243</v>
      </c>
      <c r="R146" s="2" t="s">
        <v>688</v>
      </c>
      <c r="S146" s="2" t="s">
        <v>171</v>
      </c>
      <c r="T146" s="2">
        <v>65</v>
      </c>
      <c r="U146" s="2" t="s">
        <v>182</v>
      </c>
      <c r="V146" s="2" t="s">
        <v>689</v>
      </c>
      <c r="W146" s="5">
        <f>IF(I146="","",DATE(2000+MID(I146,8,2),MATCH(MID(I146,4,3),{"Jan","Feb","Mar","Apr","May","Jun","Jul","Aug","Sep","Oct","Nov","Dec"},0),1))</f>
        <v>46023</v>
      </c>
      <c r="X146" s="2">
        <f t="shared" si="4"/>
        <v>11250</v>
      </c>
      <c r="Y146" s="2">
        <f t="shared" si="5"/>
        <v>433</v>
      </c>
    </row>
    <row r="147" spans="1:25" x14ac:dyDescent="0.25">
      <c r="A147" s="2" t="s">
        <v>21</v>
      </c>
      <c r="B147" s="2" t="s">
        <v>72</v>
      </c>
      <c r="C147" s="2" t="s">
        <v>131</v>
      </c>
      <c r="D147" s="2" t="s">
        <v>132</v>
      </c>
      <c r="E147" s="2" t="s">
        <v>741</v>
      </c>
      <c r="F147" s="2" t="s">
        <v>321</v>
      </c>
      <c r="G147" s="2" t="s">
        <v>742</v>
      </c>
      <c r="H147" s="2" t="s">
        <v>743</v>
      </c>
      <c r="I147" s="2" t="s">
        <v>717</v>
      </c>
      <c r="J147" s="2" t="s">
        <v>718</v>
      </c>
      <c r="K147" s="2" t="s">
        <v>31</v>
      </c>
      <c r="L147" s="2" t="s">
        <v>744</v>
      </c>
      <c r="M147" s="2" t="s">
        <v>33</v>
      </c>
      <c r="N147" s="2" t="s">
        <v>34</v>
      </c>
      <c r="O147" s="2" t="s">
        <v>35</v>
      </c>
      <c r="P147" s="3">
        <v>692.98</v>
      </c>
      <c r="Q147" s="2">
        <v>1180223161</v>
      </c>
      <c r="R147" s="2" t="s">
        <v>745</v>
      </c>
      <c r="S147" s="2" t="s">
        <v>171</v>
      </c>
      <c r="T147" s="2">
        <v>65</v>
      </c>
      <c r="U147" s="2" t="s">
        <v>188</v>
      </c>
      <c r="V147" s="2" t="s">
        <v>746</v>
      </c>
      <c r="W147" s="5">
        <f>IF(I147="","",DATE(2000+MID(I147,8,2),MATCH(MID(I147,4,3),{"Jan","Feb","Mar","Apr","May","Jun","Jul","Aug","Sep","Oct","Nov","Dec"},0),1))</f>
        <v>46023</v>
      </c>
      <c r="X147" s="2">
        <f t="shared" si="4"/>
        <v>9000</v>
      </c>
      <c r="Y147" s="2">
        <f t="shared" si="5"/>
        <v>308</v>
      </c>
    </row>
    <row r="148" spans="1:25" x14ac:dyDescent="0.25">
      <c r="A148" s="2" t="s">
        <v>21</v>
      </c>
      <c r="B148" s="2" t="s">
        <v>1447</v>
      </c>
      <c r="C148" s="2" t="s">
        <v>1448</v>
      </c>
      <c r="D148" s="2" t="s">
        <v>88</v>
      </c>
      <c r="E148" s="2" t="s">
        <v>1291</v>
      </c>
      <c r="F148" s="2" t="s">
        <v>950</v>
      </c>
      <c r="G148" s="2" t="s">
        <v>74</v>
      </c>
      <c r="H148" s="2" t="s">
        <v>1454</v>
      </c>
      <c r="I148" s="2" t="s">
        <v>1444</v>
      </c>
      <c r="J148" s="2" t="s">
        <v>334</v>
      </c>
      <c r="K148" s="2" t="s">
        <v>31</v>
      </c>
      <c r="L148" s="2" t="s">
        <v>1455</v>
      </c>
      <c r="M148" s="2" t="s">
        <v>33</v>
      </c>
      <c r="N148" s="2" t="s">
        <v>1318</v>
      </c>
      <c r="O148" s="2" t="s">
        <v>1319</v>
      </c>
      <c r="P148" s="3">
        <v>1295.1500000000001</v>
      </c>
      <c r="Q148" s="2">
        <v>444947299</v>
      </c>
      <c r="R148" s="2" t="s">
        <v>1451</v>
      </c>
      <c r="S148" s="2" t="s">
        <v>1456</v>
      </c>
      <c r="T148" s="2">
        <v>65</v>
      </c>
      <c r="U148" s="2" t="s">
        <v>182</v>
      </c>
      <c r="V148" s="2" t="s">
        <v>1453</v>
      </c>
      <c r="W148" s="5">
        <f>IF(I148="","",DATE(2000+MID(I148,8,2),MATCH(MID(I148,4,3),{"Jan","Feb","Mar","Apr","May","Jun","Jul","Aug","Sep","Oct","Nov","Dec"},0),1))</f>
        <v>45962</v>
      </c>
      <c r="X148" s="2">
        <f t="shared" si="4"/>
        <v>10965.36</v>
      </c>
      <c r="Y148" s="2">
        <f t="shared" si="5"/>
        <v>1142</v>
      </c>
    </row>
    <row r="149" spans="1:25" x14ac:dyDescent="0.25">
      <c r="A149" s="2" t="s">
        <v>21</v>
      </c>
      <c r="B149" s="2" t="s">
        <v>72</v>
      </c>
      <c r="C149" s="2" t="s">
        <v>131</v>
      </c>
      <c r="D149" s="2" t="s">
        <v>132</v>
      </c>
      <c r="E149" s="2" t="s">
        <v>133</v>
      </c>
      <c r="F149" s="2" t="s">
        <v>134</v>
      </c>
      <c r="G149" s="2" t="s">
        <v>135</v>
      </c>
      <c r="H149" s="2" t="s">
        <v>136</v>
      </c>
      <c r="I149" s="2" t="s">
        <v>115</v>
      </c>
      <c r="J149" s="2" t="s">
        <v>104</v>
      </c>
      <c r="K149" s="2" t="s">
        <v>31</v>
      </c>
      <c r="L149" s="2" t="s">
        <v>137</v>
      </c>
      <c r="M149" s="2" t="s">
        <v>33</v>
      </c>
      <c r="N149" s="2" t="s">
        <v>34</v>
      </c>
      <c r="O149" s="2" t="s">
        <v>35</v>
      </c>
      <c r="P149" s="3">
        <v>307.94</v>
      </c>
      <c r="Q149" s="2">
        <v>1180209290</v>
      </c>
      <c r="R149" s="2" t="s">
        <v>138</v>
      </c>
      <c r="S149" s="2" t="s">
        <v>139</v>
      </c>
      <c r="T149" s="2">
        <v>65</v>
      </c>
      <c r="U149" s="2" t="s">
        <v>119</v>
      </c>
      <c r="V149" s="2" t="s">
        <v>140</v>
      </c>
      <c r="W149" s="5">
        <f>IF(I149="","",DATE(2000+MID(I149,8,2),MATCH(MID(I149,4,3),{"Jan","Feb","Mar","Apr","May","Jun","Jul","Aug","Sep","Oct","Nov","Dec"},0),1))</f>
        <v>45931</v>
      </c>
      <c r="X149" s="2">
        <f t="shared" si="4"/>
        <v>4050</v>
      </c>
      <c r="Y149" s="2">
        <f t="shared" si="5"/>
        <v>168</v>
      </c>
    </row>
    <row r="150" spans="1:25" x14ac:dyDescent="0.25">
      <c r="A150" s="2" t="s">
        <v>21</v>
      </c>
      <c r="B150" s="2" t="s">
        <v>72</v>
      </c>
      <c r="C150" s="2" t="s">
        <v>131</v>
      </c>
      <c r="D150" s="2" t="s">
        <v>132</v>
      </c>
      <c r="E150" s="2" t="s">
        <v>141</v>
      </c>
      <c r="F150" s="2" t="s">
        <v>142</v>
      </c>
      <c r="G150" s="2" t="s">
        <v>24</v>
      </c>
      <c r="H150" s="2" t="s">
        <v>143</v>
      </c>
      <c r="I150" s="2" t="s">
        <v>144</v>
      </c>
      <c r="J150" s="2" t="s">
        <v>145</v>
      </c>
      <c r="K150" s="2" t="s">
        <v>31</v>
      </c>
      <c r="L150" s="2" t="s">
        <v>146</v>
      </c>
      <c r="M150" s="2" t="s">
        <v>33</v>
      </c>
      <c r="N150" s="2" t="s">
        <v>34</v>
      </c>
      <c r="O150" s="2" t="s">
        <v>35</v>
      </c>
      <c r="P150" s="3">
        <v>238.29</v>
      </c>
      <c r="Q150" s="2">
        <v>1180209289</v>
      </c>
      <c r="R150" s="2" t="s">
        <v>147</v>
      </c>
      <c r="S150" s="2" t="s">
        <v>139</v>
      </c>
      <c r="T150" s="2">
        <v>65</v>
      </c>
      <c r="U150" s="2" t="s">
        <v>38</v>
      </c>
      <c r="V150" s="2" t="s">
        <v>140</v>
      </c>
      <c r="W150" s="5">
        <f>IF(I150="","",DATE(2000+MID(I150,8,2),MATCH(MID(I150,4,3),{"Jan","Feb","Mar","Apr","May","Jun","Jul","Aug","Sep","Oct","Nov","Dec"},0),1))</f>
        <v>45931</v>
      </c>
      <c r="X150" s="2">
        <f t="shared" si="4"/>
        <v>2250</v>
      </c>
      <c r="Y150" s="2">
        <f t="shared" si="5"/>
        <v>268</v>
      </c>
    </row>
    <row r="151" spans="1:25" x14ac:dyDescent="0.25">
      <c r="A151" s="2" t="s">
        <v>21</v>
      </c>
      <c r="B151" s="2" t="s">
        <v>72</v>
      </c>
      <c r="C151" s="2" t="s">
        <v>131</v>
      </c>
      <c r="D151" s="2" t="s">
        <v>132</v>
      </c>
      <c r="E151" s="2" t="s">
        <v>133</v>
      </c>
      <c r="F151" s="2" t="s">
        <v>134</v>
      </c>
      <c r="G151" s="2" t="s">
        <v>135</v>
      </c>
      <c r="H151" s="2" t="s">
        <v>136</v>
      </c>
      <c r="I151" s="2" t="s">
        <v>144</v>
      </c>
      <c r="J151" s="2" t="s">
        <v>148</v>
      </c>
      <c r="K151" s="2" t="s">
        <v>31</v>
      </c>
      <c r="L151" s="2" t="s">
        <v>149</v>
      </c>
      <c r="M151" s="2" t="s">
        <v>33</v>
      </c>
      <c r="N151" s="2" t="s">
        <v>34</v>
      </c>
      <c r="O151" s="2" t="s">
        <v>35</v>
      </c>
      <c r="P151" s="3">
        <v>307.94</v>
      </c>
      <c r="Q151" s="2">
        <v>1180209291</v>
      </c>
      <c r="R151" s="2" t="s">
        <v>150</v>
      </c>
      <c r="S151" s="2" t="s">
        <v>139</v>
      </c>
      <c r="T151" s="2">
        <v>65</v>
      </c>
      <c r="U151" s="2" t="s">
        <v>119</v>
      </c>
      <c r="V151" s="2" t="s">
        <v>140</v>
      </c>
      <c r="W151" s="5">
        <f>IF(I151="","",DATE(2000+MID(I151,8,2),MATCH(MID(I151,4,3),{"Jan","Feb","Mar","Apr","May","Jun","Jul","Aug","Sep","Oct","Nov","Dec"},0),1))</f>
        <v>45931</v>
      </c>
      <c r="X151" s="2">
        <f t="shared" si="4"/>
        <v>4500</v>
      </c>
      <c r="Y151" s="2">
        <f t="shared" si="5"/>
        <v>168</v>
      </c>
    </row>
    <row r="152" spans="1:25" x14ac:dyDescent="0.25">
      <c r="A152" s="2" t="s">
        <v>21</v>
      </c>
      <c r="B152" s="2" t="s">
        <v>1447</v>
      </c>
      <c r="C152" s="2" t="s">
        <v>1448</v>
      </c>
      <c r="D152" s="2" t="s">
        <v>88</v>
      </c>
      <c r="E152" s="2" t="s">
        <v>905</v>
      </c>
      <c r="F152" s="2" t="s">
        <v>896</v>
      </c>
      <c r="G152" s="2" t="s">
        <v>74</v>
      </c>
      <c r="H152" s="2" t="s">
        <v>1449</v>
      </c>
      <c r="I152" s="2" t="s">
        <v>1444</v>
      </c>
      <c r="J152" s="2" t="s">
        <v>334</v>
      </c>
      <c r="K152" s="2" t="s">
        <v>31</v>
      </c>
      <c r="L152" s="2" t="s">
        <v>1450</v>
      </c>
      <c r="M152" s="2" t="s">
        <v>33</v>
      </c>
      <c r="N152" s="2" t="s">
        <v>1318</v>
      </c>
      <c r="O152" s="2" t="s">
        <v>1319</v>
      </c>
      <c r="P152" s="3">
        <v>435.77</v>
      </c>
      <c r="Q152" s="2">
        <v>444947302</v>
      </c>
      <c r="R152" s="2" t="s">
        <v>1451</v>
      </c>
      <c r="S152" s="2" t="s">
        <v>1452</v>
      </c>
      <c r="T152" s="2">
        <v>65</v>
      </c>
      <c r="U152" s="2" t="s">
        <v>38</v>
      </c>
      <c r="V152" s="2" t="s">
        <v>1453</v>
      </c>
      <c r="W152" s="5">
        <f>IF(I152="","",DATE(2000+MID(I152,8,2),MATCH(MID(I152,4,3),{"Jan","Feb","Mar","Apr","May","Jun","Jul","Aug","Sep","Oct","Nov","Dec"},0),1))</f>
        <v>45962</v>
      </c>
      <c r="X152" s="2">
        <f t="shared" si="4"/>
        <v>2400</v>
      </c>
      <c r="Y152" s="2">
        <f t="shared" si="5"/>
        <v>947</v>
      </c>
    </row>
    <row r="153" spans="1:25" x14ac:dyDescent="0.25">
      <c r="A153" s="2" t="s">
        <v>21</v>
      </c>
      <c r="B153" s="2" t="s">
        <v>318</v>
      </c>
      <c r="C153" s="2" t="s">
        <v>319</v>
      </c>
      <c r="D153" s="2" t="s">
        <v>98</v>
      </c>
      <c r="E153" s="2" t="s">
        <v>320</v>
      </c>
      <c r="F153" s="2" t="s">
        <v>321</v>
      </c>
      <c r="G153" s="2" t="s">
        <v>322</v>
      </c>
      <c r="H153" s="2" t="s">
        <v>323</v>
      </c>
      <c r="I153" s="2" t="s">
        <v>324</v>
      </c>
      <c r="J153" s="2" t="s">
        <v>325</v>
      </c>
      <c r="K153" s="2" t="s">
        <v>31</v>
      </c>
      <c r="L153" s="2" t="s">
        <v>326</v>
      </c>
      <c r="M153" s="2" t="s">
        <v>33</v>
      </c>
      <c r="N153" s="2" t="s">
        <v>34</v>
      </c>
      <c r="O153" s="2" t="s">
        <v>35</v>
      </c>
      <c r="P153" s="3">
        <v>131.1</v>
      </c>
      <c r="Q153" s="2">
        <v>373699211</v>
      </c>
      <c r="R153" s="2" t="s">
        <v>327</v>
      </c>
      <c r="S153" s="2" t="s">
        <v>328</v>
      </c>
      <c r="T153" s="2">
        <v>65</v>
      </c>
      <c r="U153" s="2" t="s">
        <v>38</v>
      </c>
      <c r="V153" s="2" t="s">
        <v>329</v>
      </c>
      <c r="W153" s="5">
        <f>IF(I153="","",DATE(2000+MID(I153,8,2),MATCH(MID(I153,4,3),{"Jan","Feb","Mar","Apr","May","Jun","Jul","Aug","Sep","Oct","Nov","Dec"},0),1))</f>
        <v>45962</v>
      </c>
      <c r="X153" s="2">
        <f t="shared" si="4"/>
        <v>172.5</v>
      </c>
      <c r="Y153" s="2">
        <f t="shared" si="5"/>
        <v>546</v>
      </c>
    </row>
    <row r="154" spans="1:25" x14ac:dyDescent="0.25">
      <c r="A154" s="2" t="s">
        <v>21</v>
      </c>
      <c r="B154" s="2" t="s">
        <v>72</v>
      </c>
      <c r="C154" s="2" t="s">
        <v>1321</v>
      </c>
      <c r="D154" s="2" t="s">
        <v>65</v>
      </c>
      <c r="E154" s="2" t="s">
        <v>1500</v>
      </c>
      <c r="F154" s="2" t="s">
        <v>1501</v>
      </c>
      <c r="G154" s="2" t="s">
        <v>65</v>
      </c>
      <c r="H154" s="2" t="s">
        <v>1502</v>
      </c>
      <c r="I154" s="2" t="s">
        <v>553</v>
      </c>
      <c r="J154" s="2" t="s">
        <v>554</v>
      </c>
      <c r="K154" s="2" t="s">
        <v>31</v>
      </c>
      <c r="L154" s="2" t="s">
        <v>1503</v>
      </c>
      <c r="M154" s="2" t="s">
        <v>33</v>
      </c>
      <c r="N154" s="2" t="s">
        <v>1318</v>
      </c>
      <c r="O154" s="2" t="s">
        <v>1319</v>
      </c>
      <c r="P154" s="3">
        <v>135.26</v>
      </c>
      <c r="Q154" s="2">
        <v>467841071</v>
      </c>
      <c r="R154" s="2" t="s">
        <v>1504</v>
      </c>
      <c r="S154" s="2" t="s">
        <v>1505</v>
      </c>
      <c r="T154" s="2">
        <v>65</v>
      </c>
      <c r="U154" s="2" t="s">
        <v>119</v>
      </c>
      <c r="V154" s="2" t="s">
        <v>1506</v>
      </c>
      <c r="W154" s="5">
        <f>IF(I154="","",DATE(2000+MID(I154,8,2),MATCH(MID(I154,4,3),{"Jan","Feb","Mar","Apr","May","Jun","Jul","Aug","Sep","Oct","Nov","Dec"},0),1))</f>
        <v>45992</v>
      </c>
      <c r="X154" s="2">
        <f t="shared" si="4"/>
        <v>3705.04</v>
      </c>
      <c r="Y154" s="2">
        <f t="shared" si="5"/>
        <v>140</v>
      </c>
    </row>
    <row r="155" spans="1:25" x14ac:dyDescent="0.25">
      <c r="A155" s="2" t="s">
        <v>21</v>
      </c>
      <c r="B155" s="2" t="s">
        <v>860</v>
      </c>
      <c r="C155" s="2" t="s">
        <v>861</v>
      </c>
      <c r="D155" s="2" t="s">
        <v>296</v>
      </c>
      <c r="E155" s="2" t="s">
        <v>1374</v>
      </c>
      <c r="F155" s="2" t="s">
        <v>1375</v>
      </c>
      <c r="G155" s="2" t="s">
        <v>322</v>
      </c>
      <c r="H155" s="2" t="s">
        <v>1376</v>
      </c>
      <c r="I155" s="2" t="s">
        <v>1377</v>
      </c>
      <c r="J155" s="2" t="s">
        <v>1378</v>
      </c>
      <c r="K155" s="2" t="s">
        <v>31</v>
      </c>
      <c r="L155" s="2" t="s">
        <v>1379</v>
      </c>
      <c r="M155" s="2" t="s">
        <v>33</v>
      </c>
      <c r="N155" s="2" t="s">
        <v>1318</v>
      </c>
      <c r="O155" s="2" t="s">
        <v>1319</v>
      </c>
      <c r="P155" s="3">
        <v>267.99</v>
      </c>
      <c r="R155" s="2" t="s">
        <v>1380</v>
      </c>
      <c r="S155" s="2" t="s">
        <v>1381</v>
      </c>
      <c r="T155" s="2">
        <v>65</v>
      </c>
      <c r="U155" s="2" t="s">
        <v>38</v>
      </c>
      <c r="W155" s="5">
        <f>IF(I155="","",DATE(2000+MID(I155,8,2),MATCH(MID(I155,4,3),{"Jan","Feb","Mar","Apr","May","Jun","Jul","Aug","Sep","Oct","Nov","Dec"},0),1))</f>
        <v>45931</v>
      </c>
      <c r="X155" s="2">
        <f t="shared" si="4"/>
        <v>1826</v>
      </c>
      <c r="Y155" s="2">
        <f t="shared" si="5"/>
        <v>593</v>
      </c>
    </row>
    <row r="156" spans="1:25" x14ac:dyDescent="0.25">
      <c r="A156" s="2" t="s">
        <v>21</v>
      </c>
      <c r="B156" s="2" t="s">
        <v>320</v>
      </c>
      <c r="C156" s="2" t="s">
        <v>321</v>
      </c>
      <c r="D156" s="2" t="s">
        <v>322</v>
      </c>
      <c r="E156" s="2" t="s">
        <v>414</v>
      </c>
      <c r="F156" s="2" t="s">
        <v>415</v>
      </c>
      <c r="G156" s="2" t="s">
        <v>111</v>
      </c>
      <c r="H156" s="2" t="s">
        <v>416</v>
      </c>
      <c r="I156" s="2" t="s">
        <v>510</v>
      </c>
      <c r="J156" s="2" t="s">
        <v>511</v>
      </c>
      <c r="K156" s="2" t="s">
        <v>31</v>
      </c>
      <c r="L156" s="2" t="s">
        <v>512</v>
      </c>
      <c r="M156" s="2" t="s">
        <v>33</v>
      </c>
      <c r="N156" s="2" t="s">
        <v>34</v>
      </c>
      <c r="O156" s="2" t="s">
        <v>35</v>
      </c>
      <c r="P156" s="3">
        <v>129.87</v>
      </c>
      <c r="Q156" s="2">
        <v>341336906</v>
      </c>
      <c r="R156" s="2" t="s">
        <v>513</v>
      </c>
      <c r="S156" s="2" t="s">
        <v>514</v>
      </c>
      <c r="T156" s="2">
        <v>65</v>
      </c>
      <c r="U156" s="2" t="s">
        <v>38</v>
      </c>
      <c r="V156" s="2" t="s">
        <v>515</v>
      </c>
      <c r="W156" s="5">
        <f>IF(I156="","",DATE(2000+MID(I156,8,2),MATCH(MID(I156,4,3),{"Jan","Feb","Mar","Apr","May","Jun","Jul","Aug","Sep","Oct","Nov","Dec"},0),1))</f>
        <v>45992</v>
      </c>
      <c r="X156" s="2">
        <f t="shared" si="4"/>
        <v>1154.01</v>
      </c>
      <c r="Y156" s="2">
        <f t="shared" si="5"/>
        <v>291</v>
      </c>
    </row>
    <row r="157" spans="1:25" x14ac:dyDescent="0.25">
      <c r="A157" s="2" t="s">
        <v>21</v>
      </c>
      <c r="B157" s="2" t="s">
        <v>173</v>
      </c>
      <c r="C157" s="2" t="s">
        <v>174</v>
      </c>
      <c r="D157" s="2" t="s">
        <v>98</v>
      </c>
      <c r="E157" s="2" t="s">
        <v>175</v>
      </c>
      <c r="F157" s="2" t="s">
        <v>176</v>
      </c>
      <c r="G157" s="2" t="s">
        <v>111</v>
      </c>
      <c r="H157" s="2" t="s">
        <v>177</v>
      </c>
      <c r="I157" s="2" t="s">
        <v>160</v>
      </c>
      <c r="J157" s="2" t="s">
        <v>178</v>
      </c>
      <c r="K157" s="2" t="s">
        <v>31</v>
      </c>
      <c r="L157" s="2" t="s">
        <v>179</v>
      </c>
      <c r="M157" s="2" t="s">
        <v>33</v>
      </c>
      <c r="N157" s="2" t="s">
        <v>34</v>
      </c>
      <c r="O157" s="2" t="s">
        <v>35</v>
      </c>
      <c r="P157" s="3">
        <v>300.08999999999997</v>
      </c>
      <c r="Q157" s="2">
        <v>391410832</v>
      </c>
      <c r="R157" s="2" t="s">
        <v>180</v>
      </c>
      <c r="S157" s="2" t="s">
        <v>181</v>
      </c>
      <c r="T157" s="2">
        <v>65</v>
      </c>
      <c r="U157" s="2" t="s">
        <v>182</v>
      </c>
      <c r="V157" s="2" t="s">
        <v>183</v>
      </c>
      <c r="W157" s="5">
        <f>IF(I157="","",DATE(2000+MID(I157,8,2),MATCH(MID(I157,4,3),{"Jan","Feb","Mar","Apr","May","Jun","Jul","Aug","Sep","Oct","Nov","Dec"},0),1))</f>
        <v>45931</v>
      </c>
      <c r="X157" s="2">
        <f t="shared" si="4"/>
        <v>6300.15</v>
      </c>
      <c r="Y157" s="2">
        <f t="shared" si="5"/>
        <v>169</v>
      </c>
    </row>
    <row r="158" spans="1:25" x14ac:dyDescent="0.25">
      <c r="A158" s="2" t="s">
        <v>21</v>
      </c>
      <c r="B158" s="2" t="s">
        <v>173</v>
      </c>
      <c r="C158" s="2" t="s">
        <v>174</v>
      </c>
      <c r="D158" s="2" t="s">
        <v>98</v>
      </c>
      <c r="E158" s="2" t="s">
        <v>184</v>
      </c>
      <c r="F158" s="2" t="s">
        <v>185</v>
      </c>
      <c r="G158" s="2" t="s">
        <v>42</v>
      </c>
      <c r="H158" s="2" t="s">
        <v>186</v>
      </c>
      <c r="I158" s="2" t="s">
        <v>160</v>
      </c>
      <c r="J158" s="2" t="s">
        <v>178</v>
      </c>
      <c r="K158" s="2" t="s">
        <v>31</v>
      </c>
      <c r="L158" s="2" t="s">
        <v>187</v>
      </c>
      <c r="M158" s="2" t="s">
        <v>33</v>
      </c>
      <c r="N158" s="2" t="s">
        <v>34</v>
      </c>
      <c r="O158" s="2" t="s">
        <v>35</v>
      </c>
      <c r="P158" s="3">
        <v>498.03</v>
      </c>
      <c r="Q158" s="2">
        <v>391410833</v>
      </c>
      <c r="R158" s="2" t="s">
        <v>180</v>
      </c>
      <c r="S158" s="2" t="s">
        <v>181</v>
      </c>
      <c r="T158" s="2">
        <v>65</v>
      </c>
      <c r="U158" s="2" t="s">
        <v>188</v>
      </c>
      <c r="V158" s="2" t="s">
        <v>183</v>
      </c>
      <c r="W158" s="5">
        <f>IF(I158="","",DATE(2000+MID(I158,8,2),MATCH(MID(I158,4,3),{"Jan","Feb","Mar","Apr","May","Jun","Jul","Aug","Sep","Oct","Nov","Dec"},0),1))</f>
        <v>45931</v>
      </c>
      <c r="X158" s="2">
        <f t="shared" si="4"/>
        <v>5040.12</v>
      </c>
      <c r="Y158" s="2">
        <f t="shared" si="5"/>
        <v>419</v>
      </c>
    </row>
    <row r="159" spans="1:25" x14ac:dyDescent="0.25">
      <c r="A159" s="2" t="s">
        <v>21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74</v>
      </c>
      <c r="H159" s="2" t="s">
        <v>77</v>
      </c>
      <c r="I159" s="2" t="s">
        <v>78</v>
      </c>
      <c r="J159" s="2" t="s">
        <v>79</v>
      </c>
      <c r="K159" s="2" t="s">
        <v>31</v>
      </c>
      <c r="L159" s="2" t="s">
        <v>80</v>
      </c>
      <c r="M159" s="2" t="s">
        <v>33</v>
      </c>
      <c r="N159" s="2" t="s">
        <v>34</v>
      </c>
      <c r="O159" s="2" t="s">
        <v>35</v>
      </c>
      <c r="P159" s="3">
        <v>130.49</v>
      </c>
      <c r="Q159" s="2">
        <v>1842477601</v>
      </c>
      <c r="R159" s="2" t="s">
        <v>81</v>
      </c>
      <c r="S159" s="2" t="s">
        <v>82</v>
      </c>
      <c r="T159" s="2">
        <v>65</v>
      </c>
      <c r="U159" s="2" t="s">
        <v>38</v>
      </c>
      <c r="V159" s="2" t="s">
        <v>83</v>
      </c>
      <c r="W159" s="5">
        <f>IF(I159="","",DATE(2000+MID(I159,8,2),MATCH(MID(I159,4,3),{"Jan","Feb","Mar","Apr","May","Jun","Jul","Aug","Sep","Oct","Nov","Dec"},0),1))</f>
        <v>45931</v>
      </c>
      <c r="X159" s="2">
        <f t="shared" si="4"/>
        <v>230.01</v>
      </c>
      <c r="Y159" s="2">
        <f t="shared" si="5"/>
        <v>586</v>
      </c>
    </row>
    <row r="160" spans="1:25" x14ac:dyDescent="0.25">
      <c r="A160" s="2" t="s">
        <v>21</v>
      </c>
      <c r="B160" s="2" t="s">
        <v>482</v>
      </c>
      <c r="C160" s="2" t="s">
        <v>483</v>
      </c>
      <c r="D160" s="2" t="s">
        <v>382</v>
      </c>
      <c r="E160" s="2" t="s">
        <v>217</v>
      </c>
      <c r="F160" s="2" t="s">
        <v>218</v>
      </c>
      <c r="G160" s="2" t="s">
        <v>219</v>
      </c>
      <c r="H160" s="2" t="s">
        <v>522</v>
      </c>
      <c r="I160" s="2" t="s">
        <v>523</v>
      </c>
      <c r="J160" s="2" t="s">
        <v>511</v>
      </c>
      <c r="K160" s="2" t="s">
        <v>31</v>
      </c>
      <c r="L160" s="2" t="s">
        <v>524</v>
      </c>
      <c r="M160" s="2" t="s">
        <v>33</v>
      </c>
      <c r="N160" s="2" t="s">
        <v>34</v>
      </c>
      <c r="O160" s="2" t="s">
        <v>35</v>
      </c>
      <c r="P160" s="3">
        <v>917.29</v>
      </c>
      <c r="Q160" s="2">
        <v>1220788729</v>
      </c>
      <c r="R160" s="2" t="s">
        <v>525</v>
      </c>
      <c r="S160" s="2" t="s">
        <v>82</v>
      </c>
      <c r="T160" s="2">
        <v>65</v>
      </c>
      <c r="U160" s="2" t="s">
        <v>38</v>
      </c>
      <c r="V160" s="2" t="s">
        <v>526</v>
      </c>
      <c r="W160" s="5">
        <f>IF(I160="","",DATE(2000+MID(I160,8,2),MATCH(MID(I160,4,3),{"Jan","Feb","Mar","Apr","May","Jun","Jul","Aug","Sep","Oct","Nov","Dec"},0),1))</f>
        <v>45992</v>
      </c>
      <c r="X160" s="2">
        <f t="shared" si="4"/>
        <v>3375</v>
      </c>
      <c r="Y160" s="2">
        <f t="shared" si="5"/>
        <v>617</v>
      </c>
    </row>
    <row r="161" spans="1:25" x14ac:dyDescent="0.25">
      <c r="A161" s="2" t="s">
        <v>21</v>
      </c>
      <c r="B161" s="2" t="s">
        <v>423</v>
      </c>
      <c r="C161" s="2" t="s">
        <v>424</v>
      </c>
      <c r="D161" s="2" t="s">
        <v>65</v>
      </c>
      <c r="E161" s="2" t="s">
        <v>425</v>
      </c>
      <c r="F161" s="2" t="s">
        <v>426</v>
      </c>
      <c r="G161" s="2" t="s">
        <v>427</v>
      </c>
      <c r="H161" s="2" t="s">
        <v>428</v>
      </c>
      <c r="I161" s="2" t="s">
        <v>1557</v>
      </c>
      <c r="J161" s="2" t="s">
        <v>1558</v>
      </c>
      <c r="K161" s="2" t="s">
        <v>31</v>
      </c>
      <c r="L161" s="2" t="s">
        <v>1559</v>
      </c>
      <c r="M161" s="2" t="s">
        <v>33</v>
      </c>
      <c r="N161" s="2" t="s">
        <v>1318</v>
      </c>
      <c r="O161" s="2" t="s">
        <v>1319</v>
      </c>
      <c r="P161" s="3">
        <v>493.09</v>
      </c>
      <c r="Q161" s="2">
        <v>457875615</v>
      </c>
      <c r="R161" s="2" t="s">
        <v>1560</v>
      </c>
      <c r="S161" s="2" t="s">
        <v>1561</v>
      </c>
      <c r="T161" s="2">
        <v>65</v>
      </c>
      <c r="U161" s="2" t="s">
        <v>188</v>
      </c>
      <c r="V161" s="2" t="s">
        <v>1562</v>
      </c>
      <c r="W161" s="5">
        <f>IF(I161="","",DATE(2000+MID(I161,8,2),MATCH(MID(I161,4,3),{"Jan","Feb","Mar","Apr","May","Jun","Jul","Aug","Sep","Oct","Nov","Dec"},0),1))</f>
        <v>46023</v>
      </c>
      <c r="X161" s="2">
        <f t="shared" si="4"/>
        <v>7659.52</v>
      </c>
      <c r="Y161" s="2">
        <f t="shared" si="5"/>
        <v>248</v>
      </c>
    </row>
    <row r="162" spans="1:25" x14ac:dyDescent="0.25">
      <c r="A162" s="2" t="s">
        <v>21</v>
      </c>
      <c r="B162" s="2" t="s">
        <v>318</v>
      </c>
      <c r="C162" s="2" t="s">
        <v>319</v>
      </c>
      <c r="D162" s="2" t="s">
        <v>98</v>
      </c>
      <c r="E162" s="2" t="s">
        <v>1150</v>
      </c>
      <c r="F162" s="2" t="s">
        <v>23</v>
      </c>
      <c r="G162" s="2" t="s">
        <v>24</v>
      </c>
      <c r="H162" s="2" t="s">
        <v>1480</v>
      </c>
      <c r="I162" s="2" t="s">
        <v>1481</v>
      </c>
      <c r="J162" s="2" t="s">
        <v>1482</v>
      </c>
      <c r="K162" s="2" t="s">
        <v>31</v>
      </c>
      <c r="L162" s="2" t="s">
        <v>1483</v>
      </c>
      <c r="M162" s="2" t="s">
        <v>33</v>
      </c>
      <c r="N162" s="2" t="s">
        <v>1318</v>
      </c>
      <c r="O162" s="2" t="s">
        <v>1319</v>
      </c>
      <c r="P162" s="3">
        <v>165.2</v>
      </c>
      <c r="Q162" s="2">
        <v>463018303</v>
      </c>
      <c r="R162" s="2" t="s">
        <v>1484</v>
      </c>
      <c r="S162" s="2" t="s">
        <v>1485</v>
      </c>
      <c r="T162" s="2">
        <v>65</v>
      </c>
      <c r="U162" s="2" t="s">
        <v>38</v>
      </c>
      <c r="V162" s="2" t="s">
        <v>1486</v>
      </c>
      <c r="W162" s="5">
        <f>IF(I162="","",DATE(2000+MID(I162,8,2),MATCH(MID(I162,4,3),{"Jan","Feb","Mar","Apr","May","Jun","Jul","Aug","Sep","Oct","Nov","Dec"},0),1))</f>
        <v>45992</v>
      </c>
      <c r="X162" s="2">
        <f t="shared" si="4"/>
        <v>845.84</v>
      </c>
      <c r="Y162" s="2">
        <f t="shared" si="5"/>
        <v>501</v>
      </c>
    </row>
    <row r="163" spans="1:25" x14ac:dyDescent="0.25">
      <c r="A163" s="2" t="s">
        <v>21</v>
      </c>
      <c r="B163" s="2" t="s">
        <v>320</v>
      </c>
      <c r="C163" s="2" t="s">
        <v>321</v>
      </c>
      <c r="D163" s="2" t="s">
        <v>322</v>
      </c>
      <c r="E163" s="2" t="s">
        <v>173</v>
      </c>
      <c r="F163" s="2" t="s">
        <v>174</v>
      </c>
      <c r="G163" s="2" t="s">
        <v>98</v>
      </c>
      <c r="H163" s="2" t="s">
        <v>661</v>
      </c>
      <c r="I163" s="2" t="s">
        <v>650</v>
      </c>
      <c r="J163" s="2" t="s">
        <v>662</v>
      </c>
      <c r="K163" s="2" t="s">
        <v>31</v>
      </c>
      <c r="L163" s="2" t="s">
        <v>663</v>
      </c>
      <c r="M163" s="2" t="s">
        <v>33</v>
      </c>
      <c r="N163" s="2" t="s">
        <v>34</v>
      </c>
      <c r="O163" s="2" t="s">
        <v>35</v>
      </c>
      <c r="P163" s="3">
        <v>127.41</v>
      </c>
      <c r="Q163" s="2">
        <v>341302023</v>
      </c>
      <c r="R163" s="2" t="s">
        <v>664</v>
      </c>
      <c r="S163" s="2" t="s">
        <v>665</v>
      </c>
      <c r="T163" s="2">
        <v>65</v>
      </c>
      <c r="U163" s="2" t="s">
        <v>38</v>
      </c>
      <c r="V163" s="2" t="s">
        <v>666</v>
      </c>
      <c r="W163" s="5">
        <f>IF(I163="","",DATE(2000+MID(I163,8,2),MATCH(MID(I163,4,3),{"Jan","Feb","Mar","Apr","May","Jun","Jul","Aug","Sep","Oct","Nov","Dec"},0),1))</f>
        <v>46023</v>
      </c>
      <c r="X163" s="2">
        <f t="shared" si="4"/>
        <v>137.22999999999999</v>
      </c>
      <c r="Y163" s="2">
        <f t="shared" si="5"/>
        <v>312</v>
      </c>
    </row>
    <row r="164" spans="1:25" x14ac:dyDescent="0.25">
      <c r="A164" s="2" t="s">
        <v>21</v>
      </c>
      <c r="B164" s="2" t="s">
        <v>261</v>
      </c>
      <c r="C164" s="2" t="s">
        <v>262</v>
      </c>
      <c r="D164" s="2" t="s">
        <v>263</v>
      </c>
      <c r="E164" s="2" t="s">
        <v>387</v>
      </c>
      <c r="F164" s="2" t="s">
        <v>388</v>
      </c>
      <c r="G164" s="2" t="s">
        <v>111</v>
      </c>
      <c r="H164" s="2" t="s">
        <v>389</v>
      </c>
      <c r="I164" s="2" t="s">
        <v>390</v>
      </c>
      <c r="J164" s="2" t="s">
        <v>354</v>
      </c>
      <c r="K164" s="2" t="s">
        <v>31</v>
      </c>
      <c r="L164" s="2" t="s">
        <v>391</v>
      </c>
      <c r="M164" s="2" t="s">
        <v>33</v>
      </c>
      <c r="N164" s="2" t="s">
        <v>34</v>
      </c>
      <c r="O164" s="2" t="s">
        <v>35</v>
      </c>
      <c r="P164" s="3">
        <v>132.33000000000001</v>
      </c>
      <c r="Q164" s="2">
        <v>1510240359</v>
      </c>
      <c r="R164" s="2" t="s">
        <v>392</v>
      </c>
      <c r="S164" s="2" t="s">
        <v>393</v>
      </c>
      <c r="T164" s="2">
        <v>65</v>
      </c>
      <c r="U164" s="2" t="s">
        <v>38</v>
      </c>
      <c r="V164" s="2" t="s">
        <v>394</v>
      </c>
      <c r="W164" s="5">
        <f>IF(I164="","",DATE(2000+MID(I164,8,2),MATCH(MID(I164,4,3),{"Jan","Feb","Mar","Apr","May","Jun","Jul","Aug","Sep","Oct","Nov","Dec"},0),1))</f>
        <v>45962</v>
      </c>
      <c r="X164" s="2">
        <f t="shared" si="4"/>
        <v>122.56</v>
      </c>
      <c r="Y164" s="2">
        <f t="shared" si="5"/>
        <v>417</v>
      </c>
    </row>
    <row r="165" spans="1:25" x14ac:dyDescent="0.25">
      <c r="A165" s="2" t="s">
        <v>21</v>
      </c>
      <c r="B165" s="2" t="s">
        <v>40</v>
      </c>
      <c r="C165" s="2" t="s">
        <v>41</v>
      </c>
      <c r="D165" s="2" t="s">
        <v>42</v>
      </c>
      <c r="E165" s="2" t="s">
        <v>43</v>
      </c>
      <c r="F165" s="2" t="s">
        <v>44</v>
      </c>
      <c r="G165" s="2" t="s">
        <v>24</v>
      </c>
      <c r="H165" s="2" t="s">
        <v>45</v>
      </c>
      <c r="I165" s="2" t="s">
        <v>46</v>
      </c>
      <c r="J165" s="2" t="s">
        <v>47</v>
      </c>
      <c r="K165" s="2" t="s">
        <v>31</v>
      </c>
      <c r="L165" s="2" t="s">
        <v>48</v>
      </c>
      <c r="M165" s="2" t="s">
        <v>33</v>
      </c>
      <c r="N165" s="2" t="s">
        <v>34</v>
      </c>
      <c r="O165" s="2" t="s">
        <v>35</v>
      </c>
      <c r="P165" s="3">
        <v>539.76</v>
      </c>
      <c r="Q165" s="2">
        <v>553077829</v>
      </c>
      <c r="R165" s="2" t="s">
        <v>49</v>
      </c>
      <c r="S165" s="2" t="s">
        <v>50</v>
      </c>
      <c r="T165" s="2">
        <v>65</v>
      </c>
      <c r="U165" s="2" t="s">
        <v>51</v>
      </c>
      <c r="V165" s="2" t="s">
        <v>52</v>
      </c>
      <c r="W165" s="5">
        <f>IF(I165="","",DATE(2000+MID(I165,8,2),MATCH(MID(I165,4,3),{"Jan","Feb","Mar","Apr","May","Jun","Jul","Aug","Sep","Oct","Nov","Dec"},0),1))</f>
        <v>45931</v>
      </c>
      <c r="X165" s="2">
        <f t="shared" si="4"/>
        <v>4608</v>
      </c>
      <c r="Y165" s="2">
        <f t="shared" si="5"/>
        <v>420</v>
      </c>
    </row>
    <row r="166" spans="1:25" x14ac:dyDescent="0.25">
      <c r="A166" s="2" t="s">
        <v>21</v>
      </c>
      <c r="B166" s="2" t="s">
        <v>40</v>
      </c>
      <c r="C166" s="2" t="s">
        <v>41</v>
      </c>
      <c r="D166" s="2" t="s">
        <v>42</v>
      </c>
      <c r="E166" s="2" t="s">
        <v>53</v>
      </c>
      <c r="F166" s="2" t="s">
        <v>54</v>
      </c>
      <c r="G166" s="2" t="s">
        <v>55</v>
      </c>
      <c r="H166" s="2" t="s">
        <v>56</v>
      </c>
      <c r="I166" s="2" t="s">
        <v>46</v>
      </c>
      <c r="J166" s="2" t="s">
        <v>57</v>
      </c>
      <c r="K166" s="2" t="s">
        <v>31</v>
      </c>
      <c r="L166" s="2" t="s">
        <v>58</v>
      </c>
      <c r="M166" s="2" t="s">
        <v>33</v>
      </c>
      <c r="N166" s="2" t="s">
        <v>34</v>
      </c>
      <c r="O166" s="2" t="s">
        <v>35</v>
      </c>
      <c r="P166" s="3">
        <v>456.05</v>
      </c>
      <c r="Q166" s="2">
        <v>553064343</v>
      </c>
      <c r="R166" s="2" t="s">
        <v>59</v>
      </c>
      <c r="S166" s="2" t="s">
        <v>50</v>
      </c>
      <c r="T166" s="2">
        <v>65</v>
      </c>
      <c r="U166" s="2" t="s">
        <v>38</v>
      </c>
      <c r="V166" s="2" t="s">
        <v>60</v>
      </c>
      <c r="W166" s="5">
        <f>IF(I166="","",DATE(2000+MID(I166,8,2),MATCH(MID(I166,4,3),{"Jan","Feb","Mar","Apr","May","Jun","Jul","Aug","Sep","Oct","Nov","Dec"},0),1))</f>
        <v>45931</v>
      </c>
      <c r="X166" s="2">
        <f t="shared" si="4"/>
        <v>2880</v>
      </c>
      <c r="Y166" s="2">
        <f t="shared" si="5"/>
        <v>344</v>
      </c>
    </row>
    <row r="167" spans="1:25" x14ac:dyDescent="0.25">
      <c r="A167" s="2" t="s">
        <v>21</v>
      </c>
      <c r="B167" s="2" t="s">
        <v>674</v>
      </c>
      <c r="C167" s="2" t="s">
        <v>675</v>
      </c>
      <c r="D167" s="2" t="s">
        <v>65</v>
      </c>
      <c r="E167" s="2" t="s">
        <v>112</v>
      </c>
      <c r="F167" s="2" t="s">
        <v>113</v>
      </c>
      <c r="G167" s="2" t="s">
        <v>55</v>
      </c>
      <c r="H167" s="2" t="s">
        <v>676</v>
      </c>
      <c r="I167" s="2" t="s">
        <v>677</v>
      </c>
      <c r="J167" s="2" t="s">
        <v>678</v>
      </c>
      <c r="K167" s="2" t="s">
        <v>31</v>
      </c>
      <c r="L167" s="2" t="s">
        <v>679</v>
      </c>
      <c r="M167" s="2" t="s">
        <v>33</v>
      </c>
      <c r="N167" s="2" t="s">
        <v>34</v>
      </c>
      <c r="O167" s="2" t="s">
        <v>35</v>
      </c>
      <c r="P167" s="3">
        <v>162.76</v>
      </c>
      <c r="Q167" s="2">
        <v>463095953</v>
      </c>
      <c r="R167" s="2" t="s">
        <v>680</v>
      </c>
      <c r="S167" s="2" t="s">
        <v>681</v>
      </c>
      <c r="T167" s="2">
        <v>65</v>
      </c>
      <c r="U167" s="2" t="s">
        <v>38</v>
      </c>
      <c r="V167" s="2" t="s">
        <v>682</v>
      </c>
      <c r="W167" s="5">
        <f>IF(I167="","",DATE(2000+MID(I167,8,2),MATCH(MID(I167,4,3),{"Jan","Feb","Mar","Apr","May","Jun","Jul","Aug","Sep","Oct","Nov","Dec"},0),1))</f>
        <v>46023</v>
      </c>
      <c r="X167" s="2">
        <f t="shared" si="4"/>
        <v>610</v>
      </c>
      <c r="Y167" s="2">
        <f t="shared" si="5"/>
        <v>1053</v>
      </c>
    </row>
    <row r="168" spans="1:25" x14ac:dyDescent="0.25">
      <c r="A168" s="2" t="s">
        <v>21</v>
      </c>
      <c r="B168" s="2" t="s">
        <v>217</v>
      </c>
      <c r="C168" s="2" t="s">
        <v>218</v>
      </c>
      <c r="D168" s="2" t="s">
        <v>219</v>
      </c>
      <c r="E168" s="2" t="s">
        <v>1150</v>
      </c>
      <c r="F168" s="2" t="s">
        <v>23</v>
      </c>
      <c r="G168" s="2" t="s">
        <v>24</v>
      </c>
      <c r="H168" s="2" t="s">
        <v>1151</v>
      </c>
      <c r="I168" s="2" t="s">
        <v>1152</v>
      </c>
      <c r="J168" s="2" t="s">
        <v>1153</v>
      </c>
      <c r="K168" s="2" t="s">
        <v>31</v>
      </c>
      <c r="L168" s="2" t="s">
        <v>1154</v>
      </c>
      <c r="M168" s="2" t="s">
        <v>33</v>
      </c>
      <c r="N168" s="2" t="s">
        <v>34</v>
      </c>
      <c r="O168" s="2" t="s">
        <v>35</v>
      </c>
      <c r="P168" s="3">
        <v>152.33000000000001</v>
      </c>
      <c r="Q168" s="2">
        <v>1210847103</v>
      </c>
      <c r="R168" s="2" t="s">
        <v>1155</v>
      </c>
      <c r="S168" s="2" t="s">
        <v>1156</v>
      </c>
      <c r="T168" s="2">
        <v>65</v>
      </c>
      <c r="U168" s="2" t="s">
        <v>38</v>
      </c>
      <c r="V168" s="2" t="s">
        <v>1157</v>
      </c>
      <c r="W168" s="5">
        <f>IF(I168="","",DATE(2000+MID(I168,8,2),MATCH(MID(I168,4,3),{"Jan","Feb","Mar","Apr","May","Jun","Jul","Aug","Sep","Oct","Nov","Dec"},0),1))</f>
        <v>46082</v>
      </c>
      <c r="X168" s="2">
        <f t="shared" si="4"/>
        <v>82.16</v>
      </c>
      <c r="Y168" s="2">
        <f t="shared" si="5"/>
        <v>1104</v>
      </c>
    </row>
    <row r="169" spans="1:25" x14ac:dyDescent="0.25">
      <c r="A169" s="2" t="s">
        <v>21</v>
      </c>
      <c r="B169" s="2" t="s">
        <v>1158</v>
      </c>
      <c r="C169" s="2" t="s">
        <v>579</v>
      </c>
      <c r="D169" s="2" t="s">
        <v>367</v>
      </c>
      <c r="E169" s="2" t="s">
        <v>1150</v>
      </c>
      <c r="F169" s="2" t="s">
        <v>23</v>
      </c>
      <c r="G169" s="2" t="s">
        <v>24</v>
      </c>
      <c r="H169" s="2" t="s">
        <v>1159</v>
      </c>
      <c r="I169" s="2" t="s">
        <v>1160</v>
      </c>
      <c r="J169" s="2" t="s">
        <v>1153</v>
      </c>
      <c r="K169" s="2" t="s">
        <v>31</v>
      </c>
      <c r="L169" s="2" t="s">
        <v>1161</v>
      </c>
      <c r="M169" s="2" t="s">
        <v>33</v>
      </c>
      <c r="N169" s="2" t="s">
        <v>34</v>
      </c>
      <c r="O169" s="2" t="s">
        <v>35</v>
      </c>
      <c r="P169" s="3">
        <v>202.22</v>
      </c>
      <c r="Q169" s="2">
        <v>1381609889</v>
      </c>
      <c r="R169" s="2" t="s">
        <v>1162</v>
      </c>
      <c r="S169" s="2" t="s">
        <v>1156</v>
      </c>
      <c r="T169" s="2">
        <v>65</v>
      </c>
      <c r="U169" s="2" t="s">
        <v>188</v>
      </c>
      <c r="V169" s="2" t="s">
        <v>1163</v>
      </c>
      <c r="W169" s="5">
        <f>IF(I169="","",DATE(2000+MID(I169,8,2),MATCH(MID(I169,4,3),{"Jan","Feb","Mar","Apr","May","Jun","Jul","Aug","Sep","Oct","Nov","Dec"},0),1))</f>
        <v>46082</v>
      </c>
      <c r="X169" s="2">
        <f t="shared" si="4"/>
        <v>695.58</v>
      </c>
      <c r="Y169" s="2">
        <f t="shared" si="5"/>
        <v>347</v>
      </c>
    </row>
    <row r="170" spans="1:25" x14ac:dyDescent="0.25">
      <c r="A170" s="2" t="s">
        <v>21</v>
      </c>
      <c r="B170" s="2" t="s">
        <v>1119</v>
      </c>
      <c r="C170" s="2" t="s">
        <v>1120</v>
      </c>
      <c r="D170" s="2" t="s">
        <v>74</v>
      </c>
      <c r="E170" s="2" t="s">
        <v>1080</v>
      </c>
      <c r="F170" s="2" t="s">
        <v>1081</v>
      </c>
      <c r="G170" s="2" t="s">
        <v>725</v>
      </c>
      <c r="H170" s="2" t="s">
        <v>1121</v>
      </c>
      <c r="I170" s="2" t="s">
        <v>1122</v>
      </c>
      <c r="J170" s="2" t="s">
        <v>1123</v>
      </c>
      <c r="K170" s="2" t="s">
        <v>31</v>
      </c>
      <c r="L170" s="2" t="s">
        <v>1124</v>
      </c>
      <c r="M170" s="2" t="s">
        <v>33</v>
      </c>
      <c r="N170" s="2" t="s">
        <v>34</v>
      </c>
      <c r="O170" s="2" t="s">
        <v>35</v>
      </c>
      <c r="P170" s="3">
        <v>499.9</v>
      </c>
      <c r="Q170" s="2">
        <v>1890028978</v>
      </c>
      <c r="R170" s="2" t="s">
        <v>1125</v>
      </c>
      <c r="S170" s="2" t="s">
        <v>1126</v>
      </c>
      <c r="T170" s="2">
        <v>65</v>
      </c>
      <c r="U170" s="2" t="s">
        <v>51</v>
      </c>
      <c r="V170" s="2" t="s">
        <v>1127</v>
      </c>
      <c r="W170" s="5">
        <f>IF(I170="","",DATE(2000+MID(I170,8,2),MATCH(MID(I170,4,3),{"Jan","Feb","Mar","Apr","May","Jun","Jul","Aug","Sep","Oct","Nov","Dec"},0),1))</f>
        <v>46082</v>
      </c>
      <c r="X170" s="2">
        <f t="shared" si="4"/>
        <v>3134.18</v>
      </c>
      <c r="Y170" s="2">
        <f t="shared" si="5"/>
        <v>1011</v>
      </c>
    </row>
    <row r="171" spans="1:25" x14ac:dyDescent="0.25">
      <c r="A171" s="2" t="s">
        <v>21</v>
      </c>
      <c r="B171" s="2" t="s">
        <v>72</v>
      </c>
      <c r="C171" s="2" t="s">
        <v>252</v>
      </c>
      <c r="D171" s="2" t="s">
        <v>65</v>
      </c>
      <c r="E171" s="2" t="s">
        <v>1463</v>
      </c>
      <c r="F171" s="2" t="s">
        <v>1464</v>
      </c>
      <c r="G171" s="2" t="s">
        <v>65</v>
      </c>
      <c r="H171" s="2" t="s">
        <v>1465</v>
      </c>
      <c r="I171" s="2" t="s">
        <v>200</v>
      </c>
      <c r="J171" s="2" t="s">
        <v>354</v>
      </c>
      <c r="K171" s="2" t="s">
        <v>31</v>
      </c>
      <c r="L171" s="2" t="s">
        <v>1466</v>
      </c>
      <c r="M171" s="2" t="s">
        <v>33</v>
      </c>
      <c r="N171" s="2" t="s">
        <v>1318</v>
      </c>
      <c r="O171" s="2" t="s">
        <v>1319</v>
      </c>
      <c r="P171" s="3">
        <v>136.24</v>
      </c>
      <c r="Q171" s="2">
        <v>435103423</v>
      </c>
      <c r="R171" s="2" t="s">
        <v>1467</v>
      </c>
      <c r="S171" s="2" t="s">
        <v>1468</v>
      </c>
      <c r="T171" s="2">
        <v>65</v>
      </c>
      <c r="U171" s="2" t="s">
        <v>188</v>
      </c>
      <c r="V171" s="2" t="s">
        <v>1469</v>
      </c>
      <c r="W171" s="5">
        <f>IF(I171="","",DATE(2000+MID(I171,8,2),MATCH(MID(I171,4,3),{"Jan","Feb","Mar","Apr","May","Jun","Jul","Aug","Sep","Oct","Nov","Dec"},0),1))</f>
        <v>45962</v>
      </c>
      <c r="X171" s="2">
        <f t="shared" si="4"/>
        <v>6500</v>
      </c>
      <c r="Y171" s="2">
        <f t="shared" si="5"/>
        <v>366</v>
      </c>
    </row>
    <row r="172" spans="1:25" x14ac:dyDescent="0.25">
      <c r="A172" s="2" t="s">
        <v>21</v>
      </c>
      <c r="B172" s="2" t="s">
        <v>173</v>
      </c>
      <c r="C172" s="2" t="s">
        <v>174</v>
      </c>
      <c r="D172" s="2" t="s">
        <v>98</v>
      </c>
      <c r="E172" s="2" t="s">
        <v>175</v>
      </c>
      <c r="F172" s="2" t="s">
        <v>176</v>
      </c>
      <c r="G172" s="2" t="s">
        <v>111</v>
      </c>
      <c r="H172" s="2" t="s">
        <v>177</v>
      </c>
      <c r="I172" s="2" t="s">
        <v>889</v>
      </c>
      <c r="J172" s="2" t="s">
        <v>890</v>
      </c>
      <c r="K172" s="2" t="s">
        <v>31</v>
      </c>
      <c r="L172" s="2" t="s">
        <v>891</v>
      </c>
      <c r="M172" s="2" t="s">
        <v>33</v>
      </c>
      <c r="N172" s="2" t="s">
        <v>34</v>
      </c>
      <c r="O172" s="2" t="s">
        <v>35</v>
      </c>
      <c r="P172" s="3">
        <v>152.22</v>
      </c>
      <c r="Q172" s="2">
        <v>391420463</v>
      </c>
      <c r="R172" s="2" t="s">
        <v>892</v>
      </c>
      <c r="S172" s="2" t="s">
        <v>893</v>
      </c>
      <c r="T172" s="2">
        <v>65</v>
      </c>
      <c r="U172" s="2" t="s">
        <v>119</v>
      </c>
      <c r="V172" s="2" t="s">
        <v>894</v>
      </c>
      <c r="W172" s="5">
        <f>IF(I172="","",DATE(2000+MID(I172,8,2),MATCH(MID(I172,4,3),{"Jan","Feb","Mar","Apr","May","Jun","Jul","Aug","Sep","Oct","Nov","Dec"},0),1))</f>
        <v>46054</v>
      </c>
      <c r="X172" s="2">
        <f t="shared" si="4"/>
        <v>2520.06</v>
      </c>
      <c r="Y172" s="2">
        <f t="shared" si="5"/>
        <v>169</v>
      </c>
    </row>
    <row r="173" spans="1:25" x14ac:dyDescent="0.25">
      <c r="A173" s="2" t="s">
        <v>21</v>
      </c>
      <c r="B173" s="2" t="s">
        <v>173</v>
      </c>
      <c r="C173" s="2" t="s">
        <v>174</v>
      </c>
      <c r="D173" s="2" t="s">
        <v>98</v>
      </c>
      <c r="E173" s="2" t="s">
        <v>175</v>
      </c>
      <c r="F173" s="2" t="s">
        <v>176</v>
      </c>
      <c r="G173" s="2" t="s">
        <v>111</v>
      </c>
      <c r="H173" s="2" t="s">
        <v>177</v>
      </c>
      <c r="I173" s="2" t="s">
        <v>485</v>
      </c>
      <c r="J173" s="2" t="s">
        <v>511</v>
      </c>
      <c r="K173" s="2" t="s">
        <v>31</v>
      </c>
      <c r="L173" s="2" t="s">
        <v>1474</v>
      </c>
      <c r="M173" s="2" t="s">
        <v>33</v>
      </c>
      <c r="N173" s="2" t="s">
        <v>1318</v>
      </c>
      <c r="O173" s="2" t="s">
        <v>1319</v>
      </c>
      <c r="P173" s="3">
        <v>272.04000000000002</v>
      </c>
      <c r="Q173" s="2">
        <v>462960358</v>
      </c>
      <c r="R173" s="2" t="s">
        <v>1475</v>
      </c>
      <c r="S173" s="2" t="s">
        <v>893</v>
      </c>
      <c r="T173" s="2">
        <v>65</v>
      </c>
      <c r="U173" s="2" t="s">
        <v>51</v>
      </c>
      <c r="V173" s="2" t="s">
        <v>1476</v>
      </c>
      <c r="W173" s="5">
        <f>IF(I173="","",DATE(2000+MID(I173,8,2),MATCH(MID(I173,4,3),{"Jan","Feb","Mar","Apr","May","Jun","Jul","Aug","Sep","Oct","Nov","Dec"},0),1))</f>
        <v>45992</v>
      </c>
      <c r="X173" s="2">
        <f t="shared" si="4"/>
        <v>3780.09</v>
      </c>
      <c r="Y173" s="2">
        <f t="shared" si="5"/>
        <v>169</v>
      </c>
    </row>
    <row r="174" spans="1:25" x14ac:dyDescent="0.25">
      <c r="A174" s="2" t="s">
        <v>21</v>
      </c>
      <c r="B174" s="2" t="s">
        <v>173</v>
      </c>
      <c r="C174" s="2" t="s">
        <v>174</v>
      </c>
      <c r="D174" s="2" t="s">
        <v>98</v>
      </c>
      <c r="E174" s="2" t="s">
        <v>541</v>
      </c>
      <c r="F174" s="2" t="s">
        <v>542</v>
      </c>
      <c r="G174" s="2" t="s">
        <v>98</v>
      </c>
      <c r="H174" s="2" t="s">
        <v>1164</v>
      </c>
      <c r="I174" s="2" t="s">
        <v>1152</v>
      </c>
      <c r="J174" s="2" t="s">
        <v>1165</v>
      </c>
      <c r="K174" s="2" t="s">
        <v>31</v>
      </c>
      <c r="L174" s="2" t="s">
        <v>1166</v>
      </c>
      <c r="M174" s="2" t="s">
        <v>33</v>
      </c>
      <c r="N174" s="2" t="s">
        <v>34</v>
      </c>
      <c r="O174" s="2" t="s">
        <v>35</v>
      </c>
      <c r="P174" s="3">
        <v>144.63999999999999</v>
      </c>
      <c r="Q174" s="2">
        <v>391422162</v>
      </c>
      <c r="R174" s="2" t="s">
        <v>1167</v>
      </c>
      <c r="S174" s="2" t="s">
        <v>1168</v>
      </c>
      <c r="T174" s="2">
        <v>65</v>
      </c>
      <c r="U174" s="2" t="s">
        <v>38</v>
      </c>
      <c r="V174" s="2" t="s">
        <v>1169</v>
      </c>
      <c r="W174" s="5">
        <f>IF(I174="","",DATE(2000+MID(I174,8,2),MATCH(MID(I174,4,3),{"Jan","Feb","Mar","Apr","May","Jun","Jul","Aug","Sep","Oct","Nov","Dec"},0),1))</f>
        <v>46082</v>
      </c>
      <c r="X174" s="2">
        <f t="shared" si="4"/>
        <v>392</v>
      </c>
      <c r="Y174" s="2">
        <f t="shared" si="5"/>
        <v>277</v>
      </c>
    </row>
    <row r="175" spans="1:25" x14ac:dyDescent="0.25">
      <c r="A175" s="2" t="s">
        <v>21</v>
      </c>
      <c r="B175" s="2" t="s">
        <v>86</v>
      </c>
      <c r="C175" s="2" t="s">
        <v>87</v>
      </c>
      <c r="D175" s="2" t="s">
        <v>88</v>
      </c>
      <c r="E175" s="2" t="s">
        <v>425</v>
      </c>
      <c r="F175" s="2" t="s">
        <v>426</v>
      </c>
      <c r="G175" s="2" t="s">
        <v>427</v>
      </c>
      <c r="H175" s="2" t="s">
        <v>1178</v>
      </c>
      <c r="I175" s="2" t="s">
        <v>1179</v>
      </c>
      <c r="J175" s="2" t="s">
        <v>1153</v>
      </c>
      <c r="K175" s="2" t="s">
        <v>31</v>
      </c>
      <c r="L175" s="2" t="s">
        <v>1180</v>
      </c>
      <c r="M175" s="2" t="s">
        <v>33</v>
      </c>
      <c r="N175" s="2" t="s">
        <v>34</v>
      </c>
      <c r="O175" s="2" t="s">
        <v>35</v>
      </c>
      <c r="P175" s="3">
        <v>158.97999999999999</v>
      </c>
      <c r="Q175" s="2">
        <v>473467154</v>
      </c>
      <c r="R175" s="2" t="s">
        <v>1181</v>
      </c>
      <c r="S175" s="2" t="s">
        <v>1182</v>
      </c>
      <c r="T175" s="2">
        <v>65</v>
      </c>
      <c r="U175" s="2" t="s">
        <v>38</v>
      </c>
      <c r="V175" s="2" t="s">
        <v>1183</v>
      </c>
      <c r="W175" s="5">
        <f>IF(I175="","",DATE(2000+MID(I175,8,2),MATCH(MID(I175,4,3),{"Jan","Feb","Mar","Apr","May","Jun","Jul","Aug","Sep","Oct","Nov","Dec"},0),1))</f>
        <v>46082</v>
      </c>
      <c r="X175" s="2">
        <f t="shared" si="4"/>
        <v>310.2</v>
      </c>
      <c r="Y175" s="2">
        <f t="shared" si="5"/>
        <v>178</v>
      </c>
    </row>
    <row r="176" spans="1:25" x14ac:dyDescent="0.25">
      <c r="A176" s="2" t="s">
        <v>21</v>
      </c>
      <c r="B176" s="2" t="s">
        <v>395</v>
      </c>
      <c r="C176" s="2" t="s">
        <v>396</v>
      </c>
      <c r="D176" s="2" t="s">
        <v>397</v>
      </c>
      <c r="E176" s="2" t="s">
        <v>398</v>
      </c>
      <c r="F176" s="2" t="s">
        <v>399</v>
      </c>
      <c r="G176" s="2" t="s">
        <v>42</v>
      </c>
      <c r="H176" s="2" t="s">
        <v>400</v>
      </c>
      <c r="I176" s="2" t="s">
        <v>401</v>
      </c>
      <c r="J176" s="2" t="s">
        <v>402</v>
      </c>
      <c r="K176" s="2" t="s">
        <v>31</v>
      </c>
      <c r="L176" s="2" t="s">
        <v>403</v>
      </c>
      <c r="M176" s="2" t="s">
        <v>33</v>
      </c>
      <c r="N176" s="2" t="s">
        <v>34</v>
      </c>
      <c r="O176" s="2" t="s">
        <v>35</v>
      </c>
      <c r="P176" s="3">
        <v>911.35</v>
      </c>
      <c r="R176" s="2" t="s">
        <v>404</v>
      </c>
      <c r="S176" s="2" t="s">
        <v>405</v>
      </c>
      <c r="T176" s="2">
        <v>65</v>
      </c>
      <c r="U176" s="2" t="s">
        <v>363</v>
      </c>
      <c r="W176" s="5">
        <f>IF(I176="","",DATE(2000+MID(I176,8,2),MATCH(MID(I176,4,3),{"Jan","Feb","Mar","Apr","May","Jun","Jul","Aug","Sep","Oct","Nov","Dec"},0),1))</f>
        <v>45962</v>
      </c>
      <c r="X176" s="2">
        <f t="shared" si="4"/>
        <v>8514</v>
      </c>
      <c r="Y176" s="2">
        <f t="shared" si="5"/>
        <v>405</v>
      </c>
    </row>
    <row r="177" spans="1:25" x14ac:dyDescent="0.25">
      <c r="A177" s="2" t="s">
        <v>21</v>
      </c>
      <c r="B177" s="2" t="s">
        <v>244</v>
      </c>
      <c r="C177" s="2" t="s">
        <v>100</v>
      </c>
      <c r="D177" s="2" t="s">
        <v>101</v>
      </c>
      <c r="E177" s="2" t="s">
        <v>414</v>
      </c>
      <c r="F177" s="2" t="s">
        <v>415</v>
      </c>
      <c r="G177" s="2" t="s">
        <v>111</v>
      </c>
      <c r="H177" s="2" t="s">
        <v>516</v>
      </c>
      <c r="I177" s="2" t="s">
        <v>1207</v>
      </c>
      <c r="J177" s="2" t="s">
        <v>1282</v>
      </c>
      <c r="K177" s="2" t="s">
        <v>31</v>
      </c>
      <c r="L177" s="2" t="s">
        <v>1283</v>
      </c>
      <c r="M177" s="2" t="s">
        <v>33</v>
      </c>
      <c r="N177" s="2" t="s">
        <v>34</v>
      </c>
      <c r="O177" s="2" t="s">
        <v>35</v>
      </c>
      <c r="P177" s="3">
        <v>150.80000000000001</v>
      </c>
      <c r="R177" s="2" t="s">
        <v>1284</v>
      </c>
      <c r="S177" s="2" t="s">
        <v>405</v>
      </c>
      <c r="T177" s="2">
        <v>65</v>
      </c>
      <c r="U177" s="2" t="s">
        <v>38</v>
      </c>
      <c r="W177" s="5">
        <f>IF(I177="","",DATE(2000+MID(I177,8,2),MATCH(MID(I177,4,3),{"Jan","Feb","Mar","Apr","May","Jun","Jul","Aug","Sep","Oct","Nov","Dec"},0),1))</f>
        <v>46082</v>
      </c>
      <c r="X177" s="2">
        <f t="shared" si="4"/>
        <v>576</v>
      </c>
      <c r="Y177" s="2">
        <f t="shared" si="5"/>
        <v>136</v>
      </c>
    </row>
    <row r="178" spans="1:25" x14ac:dyDescent="0.25">
      <c r="A178" s="2" t="s">
        <v>21</v>
      </c>
      <c r="B178" s="2" t="s">
        <v>72</v>
      </c>
      <c r="C178" s="2" t="s">
        <v>252</v>
      </c>
      <c r="D178" s="2" t="s">
        <v>65</v>
      </c>
      <c r="E178" s="2" t="s">
        <v>1540</v>
      </c>
      <c r="F178" s="2" t="s">
        <v>1541</v>
      </c>
      <c r="G178" s="2" t="s">
        <v>65</v>
      </c>
      <c r="H178" s="2" t="s">
        <v>1542</v>
      </c>
      <c r="I178" s="2" t="s">
        <v>1543</v>
      </c>
      <c r="J178" s="2" t="s">
        <v>669</v>
      </c>
      <c r="K178" s="2" t="s">
        <v>31</v>
      </c>
      <c r="L178" s="2" t="s">
        <v>1544</v>
      </c>
      <c r="M178" s="2" t="s">
        <v>33</v>
      </c>
      <c r="N178" s="2" t="s">
        <v>1318</v>
      </c>
      <c r="O178" s="2" t="s">
        <v>1319</v>
      </c>
      <c r="P178" s="3">
        <v>135.26</v>
      </c>
      <c r="Q178" s="2">
        <v>474234789</v>
      </c>
      <c r="R178" s="2" t="s">
        <v>1545</v>
      </c>
      <c r="S178" s="2" t="s">
        <v>1546</v>
      </c>
      <c r="T178" s="2">
        <v>65</v>
      </c>
      <c r="U178" s="2" t="s">
        <v>38</v>
      </c>
      <c r="V178" s="2" t="s">
        <v>1547</v>
      </c>
      <c r="W178" s="5">
        <f>IF(I178="","",DATE(2000+MID(I178,8,2),MATCH(MID(I178,4,3),{"Jan","Feb","Mar","Apr","May","Jun","Jul","Aug","Sep","Oct","Nov","Dec"},0),1))</f>
        <v>46023</v>
      </c>
      <c r="X178" s="2">
        <f t="shared" si="4"/>
        <v>2149</v>
      </c>
      <c r="Y178" s="2">
        <f t="shared" si="5"/>
        <v>346</v>
      </c>
    </row>
    <row r="179" spans="1:25" x14ac:dyDescent="0.25">
      <c r="A179" s="2" t="s">
        <v>21</v>
      </c>
      <c r="B179" s="2" t="s">
        <v>414</v>
      </c>
      <c r="C179" s="2" t="s">
        <v>415</v>
      </c>
      <c r="D179" s="2" t="s">
        <v>111</v>
      </c>
      <c r="E179" s="2" t="s">
        <v>541</v>
      </c>
      <c r="F179" s="2" t="s">
        <v>542</v>
      </c>
      <c r="G179" s="2" t="s">
        <v>98</v>
      </c>
      <c r="H179" s="2" t="s">
        <v>543</v>
      </c>
      <c r="I179" s="2" t="s">
        <v>544</v>
      </c>
      <c r="J179" s="2" t="s">
        <v>545</v>
      </c>
      <c r="K179" s="2" t="s">
        <v>31</v>
      </c>
      <c r="L179" s="2" t="s">
        <v>546</v>
      </c>
      <c r="M179" s="2" t="s">
        <v>33</v>
      </c>
      <c r="N179" s="2" t="s">
        <v>34</v>
      </c>
      <c r="O179" s="2" t="s">
        <v>35</v>
      </c>
      <c r="P179" s="3">
        <v>174.33</v>
      </c>
      <c r="Q179" s="2">
        <v>112823611</v>
      </c>
      <c r="R179" s="2" t="s">
        <v>547</v>
      </c>
      <c r="S179" s="2" t="s">
        <v>548</v>
      </c>
      <c r="T179" s="2">
        <v>65</v>
      </c>
      <c r="U179" s="2" t="s">
        <v>38</v>
      </c>
      <c r="V179" s="2" t="s">
        <v>549</v>
      </c>
      <c r="W179" s="5">
        <f>IF(I179="","",DATE(2000+MID(I179,8,2),MATCH(MID(I179,4,3),{"Jan","Feb","Mar","Apr","May","Jun","Jul","Aug","Sep","Oct","Nov","Dec"},0),1))</f>
        <v>45992</v>
      </c>
      <c r="X179" s="2">
        <f t="shared" si="4"/>
        <v>1092</v>
      </c>
      <c r="Y179" s="2">
        <f t="shared" si="5"/>
        <v>513</v>
      </c>
    </row>
    <row r="180" spans="1:25" x14ac:dyDescent="0.25">
      <c r="A180" s="2" t="s">
        <v>21</v>
      </c>
      <c r="B180" s="2" t="s">
        <v>72</v>
      </c>
      <c r="C180" s="2" t="s">
        <v>252</v>
      </c>
      <c r="D180" s="2" t="s">
        <v>65</v>
      </c>
      <c r="E180" s="2" t="s">
        <v>253</v>
      </c>
      <c r="F180" s="2" t="s">
        <v>254</v>
      </c>
      <c r="G180" s="2" t="s">
        <v>65</v>
      </c>
      <c r="H180" s="2" t="s">
        <v>255</v>
      </c>
      <c r="I180" s="2" t="s">
        <v>168</v>
      </c>
      <c r="J180" s="2" t="s">
        <v>169</v>
      </c>
      <c r="K180" s="2" t="s">
        <v>31</v>
      </c>
      <c r="L180" s="2" t="s">
        <v>256</v>
      </c>
      <c r="M180" s="2" t="s">
        <v>33</v>
      </c>
      <c r="N180" s="2" t="s">
        <v>34</v>
      </c>
      <c r="O180" s="2" t="s">
        <v>35</v>
      </c>
      <c r="P180" s="3">
        <v>704.51</v>
      </c>
      <c r="Q180" s="2">
        <v>452184561</v>
      </c>
      <c r="R180" s="2" t="s">
        <v>257</v>
      </c>
      <c r="S180" s="2" t="s">
        <v>258</v>
      </c>
      <c r="T180" s="2">
        <v>65</v>
      </c>
      <c r="U180" s="2" t="s">
        <v>259</v>
      </c>
      <c r="V180" s="2" t="s">
        <v>260</v>
      </c>
      <c r="W180" s="5">
        <f>IF(I180="","",DATE(2000+MID(I180,8,2),MATCH(MID(I180,4,3),{"Jan","Feb","Mar","Apr","May","Jun","Jul","Aug","Sep","Oct","Nov","Dec"},0),1))</f>
        <v>45931</v>
      </c>
      <c r="X180" s="2">
        <f t="shared" si="4"/>
        <v>16250</v>
      </c>
      <c r="Y180" s="2">
        <f t="shared" si="5"/>
        <v>370</v>
      </c>
    </row>
    <row r="181" spans="1:25" x14ac:dyDescent="0.25">
      <c r="A181" s="2" t="s">
        <v>21</v>
      </c>
      <c r="B181" s="2" t="s">
        <v>53</v>
      </c>
      <c r="C181" s="2" t="s">
        <v>54</v>
      </c>
      <c r="D181" s="2" t="s">
        <v>55</v>
      </c>
      <c r="E181" s="2" t="s">
        <v>771</v>
      </c>
      <c r="F181" s="2" t="s">
        <v>772</v>
      </c>
      <c r="G181" s="2" t="s">
        <v>227</v>
      </c>
      <c r="H181" s="2" t="s">
        <v>773</v>
      </c>
      <c r="I181" s="2" t="s">
        <v>717</v>
      </c>
      <c r="J181" s="2" t="s">
        <v>718</v>
      </c>
      <c r="K181" s="2" t="s">
        <v>31</v>
      </c>
      <c r="L181" s="2" t="s">
        <v>774</v>
      </c>
      <c r="M181" s="2" t="s">
        <v>33</v>
      </c>
      <c r="N181" s="2" t="s">
        <v>34</v>
      </c>
      <c r="O181" s="2" t="s">
        <v>35</v>
      </c>
      <c r="P181" s="3">
        <v>152.51</v>
      </c>
      <c r="Q181" s="2">
        <v>842536443</v>
      </c>
      <c r="R181" s="2" t="s">
        <v>775</v>
      </c>
      <c r="S181" s="2" t="s">
        <v>258</v>
      </c>
      <c r="T181" s="2">
        <v>65</v>
      </c>
      <c r="U181" s="2" t="s">
        <v>38</v>
      </c>
      <c r="V181" s="2" t="s">
        <v>776</v>
      </c>
      <c r="W181" s="5">
        <f>IF(I181="","",DATE(2000+MID(I181,8,2),MATCH(MID(I181,4,3),{"Jan","Feb","Mar","Apr","May","Jun","Jul","Aug","Sep","Oct","Nov","Dec"},0),1))</f>
        <v>46023</v>
      </c>
      <c r="X181" s="2">
        <f t="shared" si="4"/>
        <v>1232.56</v>
      </c>
      <c r="Y181" s="2">
        <f t="shared" si="5"/>
        <v>217</v>
      </c>
    </row>
    <row r="182" spans="1:25" x14ac:dyDescent="0.25">
      <c r="A182" s="2" t="s">
        <v>21</v>
      </c>
      <c r="B182" s="2" t="s">
        <v>895</v>
      </c>
      <c r="C182" s="2" t="s">
        <v>896</v>
      </c>
      <c r="D182" s="2" t="s">
        <v>74</v>
      </c>
      <c r="E182" s="2" t="s">
        <v>294</v>
      </c>
      <c r="F182" s="2" t="s">
        <v>295</v>
      </c>
      <c r="G182" s="2" t="s">
        <v>296</v>
      </c>
      <c r="H182" s="2" t="s">
        <v>629</v>
      </c>
      <c r="I182" s="2" t="s">
        <v>897</v>
      </c>
      <c r="J182" s="2" t="s">
        <v>898</v>
      </c>
      <c r="K182" s="2" t="s">
        <v>31</v>
      </c>
      <c r="L182" s="2" t="s">
        <v>899</v>
      </c>
      <c r="M182" s="2" t="s">
        <v>33</v>
      </c>
      <c r="N182" s="2" t="s">
        <v>34</v>
      </c>
      <c r="O182" s="2" t="s">
        <v>35</v>
      </c>
      <c r="P182" s="3">
        <v>395.04</v>
      </c>
      <c r="Q182" s="2">
        <v>1652699196</v>
      </c>
      <c r="R182" s="2" t="s">
        <v>900</v>
      </c>
      <c r="S182" s="2" t="s">
        <v>901</v>
      </c>
      <c r="T182" s="2">
        <v>65</v>
      </c>
      <c r="U182" s="2" t="s">
        <v>188</v>
      </c>
      <c r="V182" s="2" t="s">
        <v>902</v>
      </c>
      <c r="W182" s="5">
        <f>IF(I182="","",DATE(2000+MID(I182,8,2),MATCH(MID(I182,4,3),{"Jan","Feb","Mar","Apr","May","Jun","Jul","Aug","Sep","Oct","Nov","Dec"},0),1))</f>
        <v>46054</v>
      </c>
      <c r="X182" s="2">
        <f t="shared" si="4"/>
        <v>4256</v>
      </c>
      <c r="Y182" s="2">
        <f t="shared" si="5"/>
        <v>395</v>
      </c>
    </row>
    <row r="183" spans="1:25" x14ac:dyDescent="0.25">
      <c r="A183" s="2" t="s">
        <v>21</v>
      </c>
      <c r="B183" s="2" t="s">
        <v>423</v>
      </c>
      <c r="C183" s="2" t="s">
        <v>424</v>
      </c>
      <c r="D183" s="2" t="s">
        <v>65</v>
      </c>
      <c r="E183" s="2" t="s">
        <v>1563</v>
      </c>
      <c r="F183" s="2" t="s">
        <v>1564</v>
      </c>
      <c r="G183" s="2" t="s">
        <v>427</v>
      </c>
      <c r="H183" s="2" t="s">
        <v>1565</v>
      </c>
      <c r="I183" s="2" t="s">
        <v>883</v>
      </c>
      <c r="J183" s="2" t="s">
        <v>1018</v>
      </c>
      <c r="K183" s="2" t="s">
        <v>31</v>
      </c>
      <c r="L183" s="2" t="s">
        <v>1566</v>
      </c>
      <c r="M183" s="2" t="s">
        <v>33</v>
      </c>
      <c r="N183" s="2" t="s">
        <v>1318</v>
      </c>
      <c r="O183" s="2" t="s">
        <v>1319</v>
      </c>
      <c r="P183" s="3">
        <v>166.4</v>
      </c>
      <c r="Q183" s="2">
        <v>457899174</v>
      </c>
      <c r="R183" s="2" t="s">
        <v>1567</v>
      </c>
      <c r="S183" s="2" t="s">
        <v>1568</v>
      </c>
      <c r="T183" s="2">
        <v>65</v>
      </c>
      <c r="U183" s="2" t="s">
        <v>38</v>
      </c>
      <c r="V183" s="2" t="s">
        <v>1569</v>
      </c>
      <c r="W183" s="5">
        <f>IF(I183="","",DATE(2000+MID(I183,8,2),MATCH(MID(I183,4,3),{"Jan","Feb","Mar","Apr","May","Jun","Jul","Aug","Sep","Oct","Nov","Dec"},0),1))</f>
        <v>46054</v>
      </c>
      <c r="X183" s="2">
        <f t="shared" si="4"/>
        <v>166.7</v>
      </c>
      <c r="Y183" s="2">
        <f t="shared" si="5"/>
        <v>340</v>
      </c>
    </row>
    <row r="184" spans="1:25" x14ac:dyDescent="0.25">
      <c r="A184" s="2" t="s">
        <v>21</v>
      </c>
      <c r="B184" s="2" t="s">
        <v>753</v>
      </c>
      <c r="C184" s="2" t="s">
        <v>754</v>
      </c>
      <c r="D184" s="2" t="s">
        <v>74</v>
      </c>
      <c r="E184" s="2" t="s">
        <v>1328</v>
      </c>
      <c r="F184" s="2" t="s">
        <v>616</v>
      </c>
      <c r="G184" s="2" t="s">
        <v>617</v>
      </c>
      <c r="H184" s="2" t="s">
        <v>1329</v>
      </c>
      <c r="I184" s="2" t="s">
        <v>1330</v>
      </c>
      <c r="J184" s="2" t="s">
        <v>47</v>
      </c>
      <c r="K184" s="2" t="s">
        <v>31</v>
      </c>
      <c r="L184" s="2" t="s">
        <v>1331</v>
      </c>
      <c r="M184" s="2" t="s">
        <v>33</v>
      </c>
      <c r="N184" s="2" t="s">
        <v>1318</v>
      </c>
      <c r="O184" s="2" t="s">
        <v>1319</v>
      </c>
      <c r="P184" s="3">
        <v>109.2</v>
      </c>
      <c r="R184" s="2" t="s">
        <v>1332</v>
      </c>
      <c r="S184" s="2" t="s">
        <v>1333</v>
      </c>
      <c r="T184" s="2">
        <v>65</v>
      </c>
      <c r="U184" s="2" t="s">
        <v>38</v>
      </c>
      <c r="W184" s="5">
        <f>IF(I184="","",DATE(2000+MID(I184,8,2),MATCH(MID(I184,4,3),{"Jan","Feb","Mar","Apr","May","Jun","Jul","Aug","Sep","Oct","Nov","Dec"},0),1))</f>
        <v>45931</v>
      </c>
      <c r="X184" s="2">
        <f t="shared" si="4"/>
        <v>354.06</v>
      </c>
      <c r="Y184" s="2">
        <f t="shared" si="5"/>
        <v>287</v>
      </c>
    </row>
    <row r="185" spans="1:25" x14ac:dyDescent="0.25">
      <c r="A185" s="2" t="s">
        <v>21</v>
      </c>
      <c r="B185" s="2" t="s">
        <v>232</v>
      </c>
      <c r="C185" s="2" t="s">
        <v>233</v>
      </c>
      <c r="D185" s="2" t="s">
        <v>234</v>
      </c>
      <c r="E185" s="2" t="s">
        <v>235</v>
      </c>
      <c r="F185" s="2" t="s">
        <v>236</v>
      </c>
      <c r="G185" s="2" t="s">
        <v>237</v>
      </c>
      <c r="H185" s="2" t="s">
        <v>238</v>
      </c>
      <c r="I185" s="2" t="s">
        <v>239</v>
      </c>
      <c r="J185" s="2" t="s">
        <v>240</v>
      </c>
      <c r="K185" s="2" t="s">
        <v>31</v>
      </c>
      <c r="L185" s="2" t="s">
        <v>241</v>
      </c>
      <c r="M185" s="2" t="s">
        <v>33</v>
      </c>
      <c r="N185" s="2" t="s">
        <v>34</v>
      </c>
      <c r="O185" s="2" t="s">
        <v>35</v>
      </c>
      <c r="P185" s="3">
        <v>427.78</v>
      </c>
      <c r="Q185" s="2">
        <v>2241796925</v>
      </c>
      <c r="R185" s="2" t="s">
        <v>222</v>
      </c>
      <c r="S185" s="2" t="s">
        <v>242</v>
      </c>
      <c r="T185" s="2">
        <v>65</v>
      </c>
      <c r="U185" s="2" t="s">
        <v>38</v>
      </c>
      <c r="V185" s="2" t="s">
        <v>243</v>
      </c>
      <c r="W185" s="5">
        <f>IF(I185="","",DATE(2000+MID(I185,8,2),MATCH(MID(I185,4,3),{"Jan","Feb","Mar","Apr","May","Jun","Jul","Aug","Sep","Oct","Nov","Dec"},0),1))</f>
        <v>45931</v>
      </c>
      <c r="X185" s="2">
        <f t="shared" si="4"/>
        <v>921.6</v>
      </c>
      <c r="Y185" s="2">
        <f t="shared" si="5"/>
        <v>1297</v>
      </c>
    </row>
    <row r="186" spans="1:25" x14ac:dyDescent="0.25">
      <c r="A186" s="2" t="s">
        <v>21</v>
      </c>
      <c r="B186" s="2" t="s">
        <v>261</v>
      </c>
      <c r="C186" s="2" t="s">
        <v>262</v>
      </c>
      <c r="D186" s="2" t="s">
        <v>263</v>
      </c>
      <c r="E186" s="2" t="s">
        <v>496</v>
      </c>
      <c r="F186" s="2" t="s">
        <v>497</v>
      </c>
      <c r="G186" s="2" t="s">
        <v>382</v>
      </c>
      <c r="H186" s="2" t="s">
        <v>498</v>
      </c>
      <c r="I186" s="2" t="s">
        <v>527</v>
      </c>
      <c r="J186" s="2" t="s">
        <v>528</v>
      </c>
      <c r="K186" s="2" t="s">
        <v>31</v>
      </c>
      <c r="L186" s="2" t="s">
        <v>499</v>
      </c>
      <c r="M186" s="2" t="s">
        <v>33</v>
      </c>
      <c r="N186" s="2" t="s">
        <v>34</v>
      </c>
      <c r="O186" s="2" t="s">
        <v>35</v>
      </c>
      <c r="P186" s="3">
        <v>129.26</v>
      </c>
      <c r="Q186" s="2">
        <v>1510254068</v>
      </c>
      <c r="R186" s="2" t="s">
        <v>529</v>
      </c>
      <c r="S186" s="2" t="s">
        <v>242</v>
      </c>
      <c r="T186" s="2">
        <v>65</v>
      </c>
      <c r="U186" s="2" t="s">
        <v>38</v>
      </c>
      <c r="V186" s="2" t="s">
        <v>530</v>
      </c>
      <c r="W186" s="5">
        <f>IF(I186="","",DATE(2000+MID(I186,8,2),MATCH(MID(I186,4,3),{"Jan","Feb","Mar","Apr","May","Jun","Jul","Aug","Sep","Oct","Nov","Dec"},0),1))</f>
        <v>45992</v>
      </c>
      <c r="X186" s="2">
        <f t="shared" si="4"/>
        <v>654.72</v>
      </c>
      <c r="Y186" s="2">
        <f t="shared" si="5"/>
        <v>295</v>
      </c>
    </row>
    <row r="187" spans="1:25" x14ac:dyDescent="0.25">
      <c r="A187" s="2" t="s">
        <v>21</v>
      </c>
      <c r="B187" s="2" t="s">
        <v>423</v>
      </c>
      <c r="C187" s="2" t="s">
        <v>424</v>
      </c>
      <c r="D187" s="2" t="s">
        <v>65</v>
      </c>
      <c r="E187" s="2" t="s">
        <v>425</v>
      </c>
      <c r="F187" s="2" t="s">
        <v>426</v>
      </c>
      <c r="G187" s="2" t="s">
        <v>427</v>
      </c>
      <c r="H187" s="2" t="s">
        <v>428</v>
      </c>
      <c r="I187" s="2" t="s">
        <v>429</v>
      </c>
      <c r="J187" s="2" t="s">
        <v>430</v>
      </c>
      <c r="K187" s="2" t="s">
        <v>31</v>
      </c>
      <c r="L187" s="2" t="s">
        <v>431</v>
      </c>
      <c r="M187" s="2" t="s">
        <v>33</v>
      </c>
      <c r="N187" s="2" t="s">
        <v>34</v>
      </c>
      <c r="O187" s="2" t="s">
        <v>35</v>
      </c>
      <c r="P187" s="3">
        <v>132.33000000000001</v>
      </c>
      <c r="Q187" s="2">
        <v>1090620803</v>
      </c>
      <c r="R187" s="2" t="s">
        <v>432</v>
      </c>
      <c r="S187" s="2" t="s">
        <v>433</v>
      </c>
      <c r="T187" s="2">
        <v>65</v>
      </c>
      <c r="U187" s="2" t="s">
        <v>372</v>
      </c>
      <c r="V187" s="2" t="s">
        <v>434</v>
      </c>
      <c r="W187" s="5">
        <f>IF(I187="","",DATE(2000+MID(I187,8,2),MATCH(MID(I187,4,3),{"Jan","Feb","Mar","Apr","May","Jun","Jul","Aug","Sep","Oct","Nov","Dec"},0),1))</f>
        <v>45962</v>
      </c>
      <c r="X187" s="2">
        <f t="shared" si="4"/>
        <v>1068</v>
      </c>
      <c r="Y187" s="2">
        <f t="shared" si="5"/>
        <v>248</v>
      </c>
    </row>
    <row r="188" spans="1:25" x14ac:dyDescent="0.25">
      <c r="A188" s="2" t="s">
        <v>21</v>
      </c>
      <c r="B188" s="2" t="s">
        <v>72</v>
      </c>
      <c r="C188" s="2" t="s">
        <v>252</v>
      </c>
      <c r="D188" s="2" t="s">
        <v>65</v>
      </c>
      <c r="E188" s="2" t="s">
        <v>1366</v>
      </c>
      <c r="F188" s="2" t="s">
        <v>1367</v>
      </c>
      <c r="G188" s="2" t="s">
        <v>65</v>
      </c>
      <c r="H188" s="2" t="s">
        <v>1368</v>
      </c>
      <c r="I188" s="2" t="s">
        <v>1369</v>
      </c>
      <c r="J188" s="2" t="s">
        <v>460</v>
      </c>
      <c r="K188" s="2" t="s">
        <v>31</v>
      </c>
      <c r="L188" s="2" t="s">
        <v>1370</v>
      </c>
      <c r="M188" s="2" t="s">
        <v>33</v>
      </c>
      <c r="N188" s="2" t="s">
        <v>1318</v>
      </c>
      <c r="O188" s="2" t="s">
        <v>1319</v>
      </c>
      <c r="P188" s="3">
        <v>109.2</v>
      </c>
      <c r="Q188" s="2">
        <v>435192451</v>
      </c>
      <c r="R188" s="2" t="s">
        <v>1371</v>
      </c>
      <c r="S188" s="2" t="s">
        <v>1372</v>
      </c>
      <c r="T188" s="2">
        <v>65</v>
      </c>
      <c r="U188" s="2" t="s">
        <v>38</v>
      </c>
      <c r="V188" s="2" t="s">
        <v>1373</v>
      </c>
      <c r="W188" s="5">
        <f>IF(I188="","",DATE(2000+MID(I188,8,2),MATCH(MID(I188,4,3),{"Jan","Feb","Mar","Apr","May","Jun","Jul","Aug","Sep","Oct","Nov","Dec"},0),1))</f>
        <v>45992</v>
      </c>
      <c r="X188" s="2">
        <f t="shared" si="4"/>
        <v>25</v>
      </c>
      <c r="Y188" s="2">
        <f t="shared" si="5"/>
        <v>179</v>
      </c>
    </row>
    <row r="189" spans="1:25" x14ac:dyDescent="0.25">
      <c r="A189" s="2" t="s">
        <v>21</v>
      </c>
      <c r="B189" s="2" t="s">
        <v>72</v>
      </c>
      <c r="C189" s="2" t="s">
        <v>252</v>
      </c>
      <c r="D189" s="2" t="s">
        <v>65</v>
      </c>
      <c r="E189" s="2" t="s">
        <v>1507</v>
      </c>
      <c r="F189" s="2" t="s">
        <v>1508</v>
      </c>
      <c r="G189" s="2" t="s">
        <v>65</v>
      </c>
      <c r="H189" s="2" t="s">
        <v>749</v>
      </c>
      <c r="I189" s="2" t="s">
        <v>1509</v>
      </c>
      <c r="J189" s="2" t="s">
        <v>1510</v>
      </c>
      <c r="K189" s="2" t="s">
        <v>31</v>
      </c>
      <c r="L189" s="2" t="s">
        <v>105</v>
      </c>
      <c r="M189" s="2" t="s">
        <v>33</v>
      </c>
      <c r="N189" s="2" t="s">
        <v>1318</v>
      </c>
      <c r="O189" s="2" t="s">
        <v>1319</v>
      </c>
      <c r="P189" s="3">
        <v>108.41</v>
      </c>
      <c r="Q189" s="2">
        <v>462372651</v>
      </c>
      <c r="R189" s="2" t="s">
        <v>1511</v>
      </c>
      <c r="S189" s="2" t="s">
        <v>1372</v>
      </c>
      <c r="T189" s="2">
        <v>65</v>
      </c>
      <c r="U189" s="2" t="s">
        <v>38</v>
      </c>
      <c r="V189" s="2" t="s">
        <v>1512</v>
      </c>
      <c r="W189" s="5">
        <f>IF(I189="","",DATE(2000+MID(I189,8,2),MATCH(MID(I189,4,3),{"Jan","Feb","Mar","Apr","May","Jun","Jul","Aug","Sep","Oct","Nov","Dec"},0),1))</f>
        <v>45992</v>
      </c>
      <c r="X189" s="2">
        <f t="shared" si="4"/>
        <v>50</v>
      </c>
      <c r="Y189" s="2">
        <f t="shared" si="5"/>
        <v>206</v>
      </c>
    </row>
    <row r="190" spans="1:25" x14ac:dyDescent="0.25">
      <c r="A190" s="2" t="s">
        <v>21</v>
      </c>
      <c r="B190" s="2" t="s">
        <v>261</v>
      </c>
      <c r="C190" s="2" t="s">
        <v>262</v>
      </c>
      <c r="D190" s="2" t="s">
        <v>263</v>
      </c>
      <c r="E190" s="2" t="s">
        <v>184</v>
      </c>
      <c r="F190" s="2" t="s">
        <v>185</v>
      </c>
      <c r="G190" s="2" t="s">
        <v>42</v>
      </c>
      <c r="H190" s="2" t="s">
        <v>264</v>
      </c>
      <c r="I190" s="2" t="s">
        <v>265</v>
      </c>
      <c r="J190" s="2" t="s">
        <v>266</v>
      </c>
      <c r="K190" s="2" t="s">
        <v>31</v>
      </c>
      <c r="L190" s="2" t="s">
        <v>267</v>
      </c>
      <c r="M190" s="2" t="s">
        <v>33</v>
      </c>
      <c r="N190" s="2" t="s">
        <v>34</v>
      </c>
      <c r="O190" s="2" t="s">
        <v>35</v>
      </c>
      <c r="P190" s="3">
        <v>130.49</v>
      </c>
      <c r="Q190" s="2">
        <v>1510196661</v>
      </c>
      <c r="R190" s="2" t="s">
        <v>268</v>
      </c>
      <c r="S190" s="2" t="s">
        <v>269</v>
      </c>
      <c r="T190" s="2">
        <v>65</v>
      </c>
      <c r="U190" s="2" t="s">
        <v>38</v>
      </c>
      <c r="V190" s="2" t="s">
        <v>270</v>
      </c>
      <c r="W190" s="5">
        <f>IF(I190="","",DATE(2000+MID(I190,8,2),MATCH(MID(I190,4,3),{"Jan","Feb","Mar","Apr","May","Jun","Jul","Aug","Sep","Oct","Nov","Dec"},0),1))</f>
        <v>45931</v>
      </c>
      <c r="X190" s="2">
        <f t="shared" si="4"/>
        <v>733.98</v>
      </c>
      <c r="Y190" s="2">
        <f t="shared" si="5"/>
        <v>166</v>
      </c>
    </row>
    <row r="191" spans="1:25" x14ac:dyDescent="0.25">
      <c r="A191" s="2" t="s">
        <v>21</v>
      </c>
      <c r="B191" s="2" t="s">
        <v>318</v>
      </c>
      <c r="C191" s="2" t="s">
        <v>319</v>
      </c>
      <c r="D191" s="2" t="s">
        <v>98</v>
      </c>
      <c r="E191" s="2" t="s">
        <v>330</v>
      </c>
      <c r="F191" s="2" t="s">
        <v>331</v>
      </c>
      <c r="G191" s="2" t="s">
        <v>332</v>
      </c>
      <c r="H191" s="2" t="s">
        <v>333</v>
      </c>
      <c r="I191" s="2" t="s">
        <v>324</v>
      </c>
      <c r="J191" s="2" t="s">
        <v>334</v>
      </c>
      <c r="K191" s="2" t="s">
        <v>31</v>
      </c>
      <c r="L191" s="2" t="s">
        <v>335</v>
      </c>
      <c r="M191" s="2" t="s">
        <v>33</v>
      </c>
      <c r="N191" s="2" t="s">
        <v>34</v>
      </c>
      <c r="O191" s="2" t="s">
        <v>35</v>
      </c>
      <c r="P191" s="3">
        <v>131.1</v>
      </c>
      <c r="Q191" s="2">
        <v>373699212</v>
      </c>
      <c r="R191" s="2" t="s">
        <v>336</v>
      </c>
      <c r="S191" s="2" t="s">
        <v>337</v>
      </c>
      <c r="T191" s="2">
        <v>65</v>
      </c>
      <c r="U191" s="2" t="s">
        <v>38</v>
      </c>
      <c r="V191" s="2" t="s">
        <v>338</v>
      </c>
      <c r="W191" s="5">
        <f>IF(I191="","",DATE(2000+MID(I191,8,2),MATCH(MID(I191,4,3),{"Jan","Feb","Mar","Apr","May","Jun","Jul","Aug","Sep","Oct","Nov","Dec"},0),1))</f>
        <v>45962</v>
      </c>
      <c r="X191" s="2">
        <f t="shared" si="4"/>
        <v>147.80000000000001</v>
      </c>
      <c r="Y191" s="2">
        <f t="shared" si="5"/>
        <v>313</v>
      </c>
    </row>
    <row r="192" spans="1:25" x14ac:dyDescent="0.25">
      <c r="A192" s="2" t="s">
        <v>21</v>
      </c>
      <c r="B192" s="2" t="s">
        <v>244</v>
      </c>
      <c r="C192" s="2" t="s">
        <v>100</v>
      </c>
      <c r="D192" s="2" t="s">
        <v>101</v>
      </c>
      <c r="E192" s="2" t="s">
        <v>225</v>
      </c>
      <c r="F192" s="2" t="s">
        <v>226</v>
      </c>
      <c r="G192" s="2" t="s">
        <v>227</v>
      </c>
      <c r="H192" s="2" t="s">
        <v>245</v>
      </c>
      <c r="I192" s="2" t="s">
        <v>246</v>
      </c>
      <c r="J192" s="2" t="s">
        <v>247</v>
      </c>
      <c r="K192" s="2" t="s">
        <v>31</v>
      </c>
      <c r="L192" s="2" t="s">
        <v>248</v>
      </c>
      <c r="M192" s="2" t="s">
        <v>33</v>
      </c>
      <c r="N192" s="2" t="s">
        <v>34</v>
      </c>
      <c r="O192" s="2" t="s">
        <v>35</v>
      </c>
      <c r="P192" s="3">
        <v>1311.14</v>
      </c>
      <c r="Q192" s="2">
        <v>15406563</v>
      </c>
      <c r="R192" s="2" t="s">
        <v>249</v>
      </c>
      <c r="S192" s="2" t="s">
        <v>250</v>
      </c>
      <c r="T192" s="2">
        <v>65</v>
      </c>
      <c r="U192" s="2" t="s">
        <v>182</v>
      </c>
      <c r="V192" s="2" t="s">
        <v>251</v>
      </c>
      <c r="W192" s="5">
        <f>IF(I192="","",DATE(2000+MID(I192,8,2),MATCH(MID(I192,4,3),{"Jan","Feb","Mar","Apr","May","Jun","Jul","Aug","Sep","Oct","Nov","Dec"},0),1))</f>
        <v>45962</v>
      </c>
      <c r="X192" s="2">
        <f t="shared" si="4"/>
        <v>10195</v>
      </c>
      <c r="Y192" s="2">
        <f t="shared" si="5"/>
        <v>455</v>
      </c>
    </row>
    <row r="193" spans="1:25" x14ac:dyDescent="0.25">
      <c r="A193" s="2" t="s">
        <v>21</v>
      </c>
      <c r="B193" s="2" t="s">
        <v>698</v>
      </c>
      <c r="C193" s="2" t="s">
        <v>699</v>
      </c>
      <c r="D193" s="2" t="s">
        <v>65</v>
      </c>
      <c r="E193" s="2" t="s">
        <v>531</v>
      </c>
      <c r="F193" s="2" t="s">
        <v>532</v>
      </c>
      <c r="G193" s="2" t="s">
        <v>132</v>
      </c>
      <c r="H193" s="2" t="s">
        <v>700</v>
      </c>
      <c r="I193" s="2" t="s">
        <v>701</v>
      </c>
      <c r="J193" s="2" t="s">
        <v>669</v>
      </c>
      <c r="K193" s="2" t="s">
        <v>31</v>
      </c>
      <c r="L193" s="2" t="s">
        <v>149</v>
      </c>
      <c r="M193" s="2" t="s">
        <v>33</v>
      </c>
      <c r="N193" s="2" t="s">
        <v>34</v>
      </c>
      <c r="O193" s="2" t="s">
        <v>35</v>
      </c>
      <c r="P193" s="3">
        <v>799.86</v>
      </c>
      <c r="Q193" s="2">
        <v>452234945</v>
      </c>
      <c r="R193" s="2" t="s">
        <v>702</v>
      </c>
      <c r="S193" s="2" t="s">
        <v>703</v>
      </c>
      <c r="T193" s="2">
        <v>65</v>
      </c>
      <c r="U193" s="2" t="s">
        <v>51</v>
      </c>
      <c r="V193" s="2" t="s">
        <v>704</v>
      </c>
      <c r="W193" s="5">
        <f>IF(I193="","",DATE(2000+MID(I193,8,2),MATCH(MID(I193,4,3),{"Jan","Feb","Mar","Apr","May","Jun","Jul","Aug","Sep","Oct","Nov","Dec"},0),1))</f>
        <v>46023</v>
      </c>
      <c r="X193" s="2">
        <f t="shared" si="4"/>
        <v>4500</v>
      </c>
      <c r="Y193" s="2">
        <f t="shared" si="5"/>
        <v>951</v>
      </c>
    </row>
    <row r="194" spans="1:25" x14ac:dyDescent="0.25">
      <c r="A194" s="2" t="s">
        <v>21</v>
      </c>
      <c r="B194" s="2" t="s">
        <v>72</v>
      </c>
      <c r="C194" s="2" t="s">
        <v>465</v>
      </c>
      <c r="D194" s="2" t="s">
        <v>88</v>
      </c>
      <c r="E194" s="2" t="s">
        <v>568</v>
      </c>
      <c r="F194" s="2" t="s">
        <v>569</v>
      </c>
      <c r="G194" s="2" t="s">
        <v>111</v>
      </c>
      <c r="H194" s="2" t="s">
        <v>570</v>
      </c>
      <c r="I194" s="2" t="s">
        <v>593</v>
      </c>
      <c r="J194" s="2" t="s">
        <v>594</v>
      </c>
      <c r="K194" s="2" t="s">
        <v>31</v>
      </c>
      <c r="L194" s="2" t="s">
        <v>595</v>
      </c>
      <c r="M194" s="2" t="s">
        <v>33</v>
      </c>
      <c r="N194" s="2" t="s">
        <v>34</v>
      </c>
      <c r="O194" s="2" t="s">
        <v>35</v>
      </c>
      <c r="P194" s="3">
        <v>127.41</v>
      </c>
      <c r="Q194" s="2">
        <v>473447572</v>
      </c>
      <c r="R194" s="2" t="s">
        <v>596</v>
      </c>
      <c r="S194" s="2" t="s">
        <v>597</v>
      </c>
      <c r="T194" s="2">
        <v>65</v>
      </c>
      <c r="U194" s="2" t="s">
        <v>38</v>
      </c>
      <c r="V194" s="2" t="s">
        <v>598</v>
      </c>
      <c r="W194" s="5">
        <f>IF(I194="","",DATE(2000+MID(I194,8,2),MATCH(MID(I194,4,3),{"Jan","Feb","Mar","Apr","May","Jun","Jul","Aug","Sep","Oct","Nov","Dec"},0),1))</f>
        <v>46023</v>
      </c>
      <c r="X194" s="2">
        <f t="shared" si="4"/>
        <v>105</v>
      </c>
      <c r="Y194" s="2">
        <f t="shared" si="5"/>
        <v>155</v>
      </c>
    </row>
    <row r="195" spans="1:25" x14ac:dyDescent="0.25">
      <c r="A195" s="2" t="s">
        <v>21</v>
      </c>
      <c r="B195" s="2" t="s">
        <v>318</v>
      </c>
      <c r="C195" s="2" t="s">
        <v>319</v>
      </c>
      <c r="D195" s="2" t="s">
        <v>98</v>
      </c>
      <c r="E195" s="2" t="s">
        <v>414</v>
      </c>
      <c r="F195" s="2" t="s">
        <v>415</v>
      </c>
      <c r="G195" s="2" t="s">
        <v>111</v>
      </c>
      <c r="H195" s="2" t="s">
        <v>835</v>
      </c>
      <c r="I195" s="2" t="s">
        <v>836</v>
      </c>
      <c r="J195" s="2" t="s">
        <v>837</v>
      </c>
      <c r="K195" s="2" t="s">
        <v>31</v>
      </c>
      <c r="L195" s="2" t="s">
        <v>838</v>
      </c>
      <c r="M195" s="2" t="s">
        <v>33</v>
      </c>
      <c r="N195" s="2" t="s">
        <v>34</v>
      </c>
      <c r="O195" s="2" t="s">
        <v>35</v>
      </c>
      <c r="P195" s="3">
        <v>169.87</v>
      </c>
      <c r="Q195" s="2">
        <v>373612529</v>
      </c>
      <c r="R195" s="2" t="s">
        <v>839</v>
      </c>
      <c r="S195" s="2" t="s">
        <v>840</v>
      </c>
      <c r="T195" s="2">
        <v>65</v>
      </c>
      <c r="U195" s="2" t="s">
        <v>38</v>
      </c>
      <c r="V195" s="2" t="s">
        <v>841</v>
      </c>
      <c r="W195" s="5">
        <f>IF(I195="","",DATE(2000+MID(I195,8,2),MATCH(MID(I195,4,3),{"Jan","Feb","Mar","Apr","May","Jun","Jul","Aug","Sep","Oct","Nov","Dec"},0),1))</f>
        <v>46054</v>
      </c>
      <c r="X195" s="2">
        <f t="shared" ref="X195:X231" si="6">IF(L195="","",SUBSTITUTE(SUBSTITUTE(L195,",","")," lb",""))*1</f>
        <v>137.87</v>
      </c>
      <c r="Y195" s="2">
        <f t="shared" ref="Y195:Y231" si="7">IF(H195="","",SUBSTITUTE(SUBSTITUTE(H195,",","")," mi",""))*1</f>
        <v>518</v>
      </c>
    </row>
    <row r="196" spans="1:25" x14ac:dyDescent="0.25">
      <c r="A196" s="2" t="s">
        <v>21</v>
      </c>
      <c r="B196" s="2" t="s">
        <v>173</v>
      </c>
      <c r="C196" s="2" t="s">
        <v>174</v>
      </c>
      <c r="D196" s="2" t="s">
        <v>98</v>
      </c>
      <c r="E196" s="2" t="s">
        <v>184</v>
      </c>
      <c r="F196" s="2" t="s">
        <v>185</v>
      </c>
      <c r="G196" s="2" t="s">
        <v>42</v>
      </c>
      <c r="H196" s="2" t="s">
        <v>186</v>
      </c>
      <c r="I196" s="2" t="s">
        <v>650</v>
      </c>
      <c r="J196" s="2" t="s">
        <v>651</v>
      </c>
      <c r="K196" s="2" t="s">
        <v>31</v>
      </c>
      <c r="L196" s="2" t="s">
        <v>652</v>
      </c>
      <c r="M196" s="2" t="s">
        <v>33</v>
      </c>
      <c r="N196" s="2" t="s">
        <v>34</v>
      </c>
      <c r="O196" s="2" t="s">
        <v>35</v>
      </c>
      <c r="P196" s="3">
        <v>127.41</v>
      </c>
      <c r="Q196" s="2">
        <v>391413694</v>
      </c>
      <c r="R196" s="2" t="s">
        <v>653</v>
      </c>
      <c r="S196" s="2" t="s">
        <v>654</v>
      </c>
      <c r="T196" s="2">
        <v>65</v>
      </c>
      <c r="U196" s="2" t="s">
        <v>38</v>
      </c>
      <c r="V196" s="2" t="s">
        <v>655</v>
      </c>
      <c r="W196" s="5">
        <f>IF(I196="","",DATE(2000+MID(I196,8,2),MATCH(MID(I196,4,3),{"Jan","Feb","Mar","Apr","May","Jun","Jul","Aug","Sep","Oct","Nov","Dec"},0),1))</f>
        <v>46023</v>
      </c>
      <c r="X196" s="2">
        <f t="shared" si="6"/>
        <v>98.4</v>
      </c>
      <c r="Y196" s="2">
        <f t="shared" si="7"/>
        <v>419</v>
      </c>
    </row>
    <row r="197" spans="1:25" x14ac:dyDescent="0.25">
      <c r="A197" s="2" t="s">
        <v>21</v>
      </c>
      <c r="B197" s="2" t="s">
        <v>320</v>
      </c>
      <c r="C197" s="2" t="s">
        <v>321</v>
      </c>
      <c r="D197" s="2" t="s">
        <v>322</v>
      </c>
      <c r="E197" s="2" t="s">
        <v>294</v>
      </c>
      <c r="F197" s="2" t="s">
        <v>295</v>
      </c>
      <c r="G197" s="2" t="s">
        <v>296</v>
      </c>
      <c r="H197" s="2" t="s">
        <v>1143</v>
      </c>
      <c r="I197" s="2" t="s">
        <v>1144</v>
      </c>
      <c r="J197" s="2" t="s">
        <v>1145</v>
      </c>
      <c r="K197" s="2" t="s">
        <v>31</v>
      </c>
      <c r="L197" s="2" t="s">
        <v>1146</v>
      </c>
      <c r="M197" s="2" t="s">
        <v>33</v>
      </c>
      <c r="N197" s="2" t="s">
        <v>34</v>
      </c>
      <c r="O197" s="2" t="s">
        <v>35</v>
      </c>
      <c r="P197" s="3">
        <v>147.1</v>
      </c>
      <c r="Q197" s="2">
        <v>341333441</v>
      </c>
      <c r="R197" s="2" t="s">
        <v>1147</v>
      </c>
      <c r="S197" s="2" t="s">
        <v>1148</v>
      </c>
      <c r="T197" s="2">
        <v>65</v>
      </c>
      <c r="U197" s="2" t="s">
        <v>119</v>
      </c>
      <c r="V197" s="2" t="s">
        <v>1149</v>
      </c>
      <c r="W197" s="5">
        <f>IF(I197="","",DATE(2000+MID(I197,8,2),MATCH(MID(I197,4,3),{"Jan","Feb","Mar","Apr","May","Jun","Jul","Aug","Sep","Oct","Nov","Dec"},0),1))</f>
        <v>46082</v>
      </c>
      <c r="X197" s="2">
        <f t="shared" si="6"/>
        <v>543.20000000000005</v>
      </c>
      <c r="Y197" s="2">
        <f t="shared" si="7"/>
        <v>656</v>
      </c>
    </row>
    <row r="198" spans="1:25" x14ac:dyDescent="0.25">
      <c r="A198" s="2" t="s">
        <v>21</v>
      </c>
      <c r="B198" s="2" t="s">
        <v>531</v>
      </c>
      <c r="C198" s="2" t="s">
        <v>532</v>
      </c>
      <c r="D198" s="2" t="s">
        <v>132</v>
      </c>
      <c r="E198" s="2" t="s">
        <v>912</v>
      </c>
      <c r="F198" s="2" t="s">
        <v>913</v>
      </c>
      <c r="G198" s="2" t="s">
        <v>914</v>
      </c>
      <c r="H198" s="2" t="s">
        <v>915</v>
      </c>
      <c r="I198" s="2" t="s">
        <v>916</v>
      </c>
      <c r="J198" s="2" t="s">
        <v>890</v>
      </c>
      <c r="K198" s="2" t="s">
        <v>31</v>
      </c>
      <c r="L198" s="2" t="s">
        <v>917</v>
      </c>
      <c r="M198" s="2" t="s">
        <v>33</v>
      </c>
      <c r="N198" s="2" t="s">
        <v>34</v>
      </c>
      <c r="O198" s="2" t="s">
        <v>35</v>
      </c>
      <c r="P198" s="3">
        <v>169.87</v>
      </c>
      <c r="Q198" s="2">
        <v>1271509407</v>
      </c>
      <c r="R198" s="2" t="s">
        <v>918</v>
      </c>
      <c r="S198" s="2" t="s">
        <v>919</v>
      </c>
      <c r="T198" s="2">
        <v>65</v>
      </c>
      <c r="U198" s="2" t="s">
        <v>38</v>
      </c>
      <c r="V198" s="2" t="s">
        <v>920</v>
      </c>
      <c r="W198" s="5">
        <f>IF(I198="","",DATE(2000+MID(I198,8,2),MATCH(MID(I198,4,3),{"Jan","Feb","Mar","Apr","May","Jun","Jul","Aug","Sep","Oct","Nov","Dec"},0),1))</f>
        <v>46054</v>
      </c>
      <c r="X198" s="2">
        <f t="shared" si="6"/>
        <v>93.77</v>
      </c>
      <c r="Y198" s="2">
        <f t="shared" si="7"/>
        <v>850</v>
      </c>
    </row>
    <row r="199" spans="1:25" x14ac:dyDescent="0.25">
      <c r="A199" s="2" t="s">
        <v>21</v>
      </c>
      <c r="B199" s="2" t="s">
        <v>261</v>
      </c>
      <c r="C199" s="2" t="s">
        <v>262</v>
      </c>
      <c r="D199" s="2" t="s">
        <v>263</v>
      </c>
      <c r="E199" s="2" t="s">
        <v>496</v>
      </c>
      <c r="F199" s="2" t="s">
        <v>497</v>
      </c>
      <c r="G199" s="2" t="s">
        <v>382</v>
      </c>
      <c r="H199" s="2" t="s">
        <v>498</v>
      </c>
      <c r="I199" s="2" t="s">
        <v>491</v>
      </c>
      <c r="J199" s="2" t="s">
        <v>492</v>
      </c>
      <c r="K199" s="2" t="s">
        <v>31</v>
      </c>
      <c r="L199" s="2" t="s">
        <v>499</v>
      </c>
      <c r="M199" s="2" t="s">
        <v>33</v>
      </c>
      <c r="N199" s="2" t="s">
        <v>34</v>
      </c>
      <c r="O199" s="2" t="s">
        <v>35</v>
      </c>
      <c r="P199" s="3">
        <v>201.27</v>
      </c>
      <c r="Q199" s="2">
        <v>1510190031</v>
      </c>
      <c r="R199" s="2" t="s">
        <v>500</v>
      </c>
      <c r="S199" s="2" t="s">
        <v>501</v>
      </c>
      <c r="T199" s="2">
        <v>65</v>
      </c>
      <c r="U199" s="2" t="s">
        <v>38</v>
      </c>
      <c r="V199" s="2" t="s">
        <v>502</v>
      </c>
      <c r="W199" s="5">
        <f>IF(I199="","",DATE(2000+MID(I199,8,2),MATCH(MID(I199,4,3),{"Jan","Feb","Mar","Apr","May","Jun","Jul","Aug","Sep","Oct","Nov","Dec"},0),1))</f>
        <v>45992</v>
      </c>
      <c r="X199" s="2">
        <f t="shared" si="6"/>
        <v>654.72</v>
      </c>
      <c r="Y199" s="2">
        <f t="shared" si="7"/>
        <v>295</v>
      </c>
    </row>
    <row r="200" spans="1:25" x14ac:dyDescent="0.25">
      <c r="A200" s="2" t="s">
        <v>21</v>
      </c>
      <c r="B200" s="2" t="s">
        <v>72</v>
      </c>
      <c r="C200" s="2" t="s">
        <v>579</v>
      </c>
      <c r="D200" s="2" t="s">
        <v>367</v>
      </c>
      <c r="E200" s="2" t="s">
        <v>580</v>
      </c>
      <c r="F200" s="2" t="s">
        <v>581</v>
      </c>
      <c r="G200" s="2" t="s">
        <v>582</v>
      </c>
      <c r="H200" s="2" t="s">
        <v>583</v>
      </c>
      <c r="I200" s="2" t="s">
        <v>584</v>
      </c>
      <c r="J200" s="2" t="s">
        <v>585</v>
      </c>
      <c r="K200" s="2" t="s">
        <v>31</v>
      </c>
      <c r="L200" s="2" t="s">
        <v>586</v>
      </c>
      <c r="M200" s="2" t="s">
        <v>33</v>
      </c>
      <c r="N200" s="2" t="s">
        <v>34</v>
      </c>
      <c r="O200" s="2" t="s">
        <v>35</v>
      </c>
      <c r="P200" s="3">
        <v>168.02</v>
      </c>
      <c r="Q200" s="2">
        <v>1381707055</v>
      </c>
      <c r="R200" s="2" t="s">
        <v>587</v>
      </c>
      <c r="S200" s="2" t="s">
        <v>501</v>
      </c>
      <c r="T200" s="2">
        <v>65</v>
      </c>
      <c r="U200" s="2" t="s">
        <v>38</v>
      </c>
      <c r="V200" s="2" t="s">
        <v>588</v>
      </c>
      <c r="W200" s="5">
        <f>IF(I200="","",DATE(2000+MID(I200,8,2),MATCH(MID(I200,4,3),{"Jan","Feb","Mar","Apr","May","Jun","Jul","Aug","Sep","Oct","Nov","Dec"},0),1))</f>
        <v>45992</v>
      </c>
      <c r="X200" s="2">
        <f t="shared" si="6"/>
        <v>222.29</v>
      </c>
      <c r="Y200" s="2">
        <f t="shared" si="7"/>
        <v>565</v>
      </c>
    </row>
    <row r="201" spans="1:25" x14ac:dyDescent="0.25">
      <c r="A201" s="2" t="s">
        <v>21</v>
      </c>
      <c r="B201" s="2" t="s">
        <v>72</v>
      </c>
      <c r="C201" s="2" t="s">
        <v>465</v>
      </c>
      <c r="D201" s="2" t="s">
        <v>88</v>
      </c>
      <c r="E201" s="2" t="s">
        <v>561</v>
      </c>
      <c r="F201" s="2" t="s">
        <v>562</v>
      </c>
      <c r="G201" s="2" t="s">
        <v>111</v>
      </c>
      <c r="H201" s="2" t="s">
        <v>563</v>
      </c>
      <c r="I201" s="2" t="s">
        <v>593</v>
      </c>
      <c r="J201" s="2" t="s">
        <v>599</v>
      </c>
      <c r="K201" s="2" t="s">
        <v>31</v>
      </c>
      <c r="L201" s="2" t="s">
        <v>600</v>
      </c>
      <c r="M201" s="2" t="s">
        <v>33</v>
      </c>
      <c r="N201" s="2" t="s">
        <v>34</v>
      </c>
      <c r="O201" s="2" t="s">
        <v>35</v>
      </c>
      <c r="P201" s="3">
        <v>127.41</v>
      </c>
      <c r="Q201" s="2">
        <v>473447573</v>
      </c>
      <c r="R201" s="2" t="s">
        <v>596</v>
      </c>
      <c r="S201" s="2" t="s">
        <v>601</v>
      </c>
      <c r="T201" s="2">
        <v>65</v>
      </c>
      <c r="U201" s="2" t="s">
        <v>38</v>
      </c>
      <c r="V201" s="2" t="s">
        <v>598</v>
      </c>
      <c r="W201" s="5">
        <f>IF(I201="","",DATE(2000+MID(I201,8,2),MATCH(MID(I201,4,3),{"Jan","Feb","Mar","Apr","May","Jun","Jul","Aug","Sep","Oct","Nov","Dec"},0),1))</f>
        <v>46023</v>
      </c>
      <c r="X201" s="2">
        <f t="shared" si="6"/>
        <v>185.55</v>
      </c>
      <c r="Y201" s="2">
        <f t="shared" si="7"/>
        <v>144</v>
      </c>
    </row>
    <row r="202" spans="1:25" x14ac:dyDescent="0.25">
      <c r="A202" s="2" t="s">
        <v>21</v>
      </c>
      <c r="B202" s="2" t="s">
        <v>339</v>
      </c>
      <c r="C202" s="2" t="s">
        <v>340</v>
      </c>
      <c r="D202" s="2" t="s">
        <v>74</v>
      </c>
      <c r="E202" s="2" t="s">
        <v>446</v>
      </c>
      <c r="F202" s="2" t="s">
        <v>447</v>
      </c>
      <c r="G202" s="2" t="s">
        <v>367</v>
      </c>
      <c r="H202" s="2" t="s">
        <v>448</v>
      </c>
      <c r="I202" s="2" t="s">
        <v>449</v>
      </c>
      <c r="J202" s="2" t="s">
        <v>450</v>
      </c>
      <c r="K202" s="2" t="s">
        <v>31</v>
      </c>
      <c r="L202" s="2" t="s">
        <v>195</v>
      </c>
      <c r="M202" s="2" t="s">
        <v>33</v>
      </c>
      <c r="N202" s="2" t="s">
        <v>34</v>
      </c>
      <c r="O202" s="2" t="s">
        <v>35</v>
      </c>
      <c r="P202" s="3">
        <v>131.72</v>
      </c>
      <c r="Q202" s="2">
        <v>1842518667</v>
      </c>
      <c r="R202" s="2" t="s">
        <v>451</v>
      </c>
      <c r="S202" s="2" t="s">
        <v>452</v>
      </c>
      <c r="T202" s="2">
        <v>65</v>
      </c>
      <c r="U202" s="2" t="s">
        <v>38</v>
      </c>
      <c r="V202" s="2" t="s">
        <v>453</v>
      </c>
      <c r="W202" s="5">
        <f>IF(I202="","",DATE(2000+MID(I202,8,2),MATCH(MID(I202,4,3),{"Jan","Feb","Mar","Apr","May","Jun","Jul","Aug","Sep","Oct","Nov","Dec"},0),1))</f>
        <v>45962</v>
      </c>
      <c r="X202" s="2">
        <f t="shared" si="6"/>
        <v>200</v>
      </c>
      <c r="Y202" s="2">
        <f t="shared" si="7"/>
        <v>1068</v>
      </c>
    </row>
    <row r="203" spans="1:25" x14ac:dyDescent="0.25">
      <c r="A203" s="2" t="s">
        <v>21</v>
      </c>
      <c r="B203" s="2" t="s">
        <v>72</v>
      </c>
      <c r="C203" s="2" t="s">
        <v>73</v>
      </c>
      <c r="D203" s="2" t="s">
        <v>74</v>
      </c>
      <c r="E203" s="2" t="s">
        <v>189</v>
      </c>
      <c r="F203" s="2" t="s">
        <v>190</v>
      </c>
      <c r="G203" s="2" t="s">
        <v>191</v>
      </c>
      <c r="H203" s="2" t="s">
        <v>192</v>
      </c>
      <c r="I203" s="2" t="s">
        <v>193</v>
      </c>
      <c r="J203" s="2" t="s">
        <v>194</v>
      </c>
      <c r="K203" s="2" t="s">
        <v>31</v>
      </c>
      <c r="L203" s="2" t="s">
        <v>195</v>
      </c>
      <c r="M203" s="2" t="s">
        <v>33</v>
      </c>
      <c r="N203" s="2" t="s">
        <v>34</v>
      </c>
      <c r="O203" s="2" t="s">
        <v>35</v>
      </c>
      <c r="P203" s="3">
        <v>149.84</v>
      </c>
      <c r="Q203" s="2">
        <v>1842477612</v>
      </c>
      <c r="R203" s="2" t="s">
        <v>196</v>
      </c>
      <c r="S203" s="2" t="s">
        <v>197</v>
      </c>
      <c r="T203" s="2">
        <v>65</v>
      </c>
      <c r="U203" s="2" t="s">
        <v>38</v>
      </c>
      <c r="V203" s="2" t="s">
        <v>198</v>
      </c>
      <c r="W203" s="5">
        <f>IF(I203="","",DATE(2000+MID(I203,8,2),MATCH(MID(I203,4,3),{"Jan","Feb","Mar","Apr","May","Jun","Jul","Aug","Sep","Oct","Nov","Dec"},0),1))</f>
        <v>45931</v>
      </c>
      <c r="X203" s="2">
        <f t="shared" si="6"/>
        <v>200</v>
      </c>
      <c r="Y203" s="2">
        <f t="shared" si="7"/>
        <v>523</v>
      </c>
    </row>
    <row r="204" spans="1:25" x14ac:dyDescent="0.25">
      <c r="A204" s="2" t="s">
        <v>21</v>
      </c>
      <c r="B204" s="2" t="s">
        <v>72</v>
      </c>
      <c r="C204" s="2" t="s">
        <v>73</v>
      </c>
      <c r="D204" s="2" t="s">
        <v>74</v>
      </c>
      <c r="E204" s="2" t="s">
        <v>189</v>
      </c>
      <c r="F204" s="2" t="s">
        <v>190</v>
      </c>
      <c r="G204" s="2" t="s">
        <v>191</v>
      </c>
      <c r="H204" s="2" t="s">
        <v>192</v>
      </c>
      <c r="I204" s="2" t="s">
        <v>1315</v>
      </c>
      <c r="J204" s="2" t="s">
        <v>1316</v>
      </c>
      <c r="K204" s="2" t="s">
        <v>31</v>
      </c>
      <c r="L204" s="2" t="s">
        <v>1317</v>
      </c>
      <c r="M204" s="2" t="s">
        <v>33</v>
      </c>
      <c r="N204" s="2" t="s">
        <v>1318</v>
      </c>
      <c r="O204" s="2" t="s">
        <v>1319</v>
      </c>
      <c r="P204" s="3">
        <v>290.23</v>
      </c>
      <c r="R204" s="2" t="s">
        <v>1320</v>
      </c>
      <c r="S204" s="2" t="s">
        <v>197</v>
      </c>
      <c r="T204" s="2">
        <v>65</v>
      </c>
      <c r="U204" s="2" t="s">
        <v>38</v>
      </c>
      <c r="W204" s="5">
        <f>IF(I204="","",DATE(2000+MID(I204,8,2),MATCH(MID(I204,4,3),{"Jan","Feb","Mar","Apr","May","Jun","Jul","Aug","Sep","Oct","Nov","Dec"},0),1))</f>
        <v>45931</v>
      </c>
      <c r="X204" s="2">
        <f t="shared" si="6"/>
        <v>1271.6400000000001</v>
      </c>
      <c r="Y204" s="2">
        <f t="shared" si="7"/>
        <v>523</v>
      </c>
    </row>
    <row r="205" spans="1:25" x14ac:dyDescent="0.25">
      <c r="A205" s="2" t="s">
        <v>21</v>
      </c>
      <c r="B205" s="2" t="s">
        <v>72</v>
      </c>
      <c r="C205" s="2" t="s">
        <v>465</v>
      </c>
      <c r="D205" s="2" t="s">
        <v>88</v>
      </c>
      <c r="E205" s="2" t="s">
        <v>466</v>
      </c>
      <c r="F205" s="2" t="s">
        <v>467</v>
      </c>
      <c r="G205" s="2" t="s">
        <v>111</v>
      </c>
      <c r="H205" s="2" t="s">
        <v>468</v>
      </c>
      <c r="I205" s="2" t="s">
        <v>459</v>
      </c>
      <c r="J205" s="2" t="s">
        <v>469</v>
      </c>
      <c r="K205" s="2" t="s">
        <v>31</v>
      </c>
      <c r="L205" s="2" t="s">
        <v>470</v>
      </c>
      <c r="M205" s="2" t="s">
        <v>33</v>
      </c>
      <c r="N205" s="2" t="s">
        <v>34</v>
      </c>
      <c r="O205" s="2" t="s">
        <v>35</v>
      </c>
      <c r="P205" s="3">
        <v>131.1</v>
      </c>
      <c r="R205" s="2" t="s">
        <v>471</v>
      </c>
      <c r="S205" s="2" t="s">
        <v>472</v>
      </c>
      <c r="T205" s="2">
        <v>65</v>
      </c>
      <c r="U205" s="2" t="s">
        <v>38</v>
      </c>
      <c r="W205" s="5">
        <f>IF(I205="","",DATE(2000+MID(I205,8,2),MATCH(MID(I205,4,3),{"Jan","Feb","Mar","Apr","May","Jun","Jul","Aug","Sep","Oct","Nov","Dec"},0),1))</f>
        <v>45992</v>
      </c>
      <c r="X205" s="2">
        <f t="shared" si="6"/>
        <v>131.28</v>
      </c>
      <c r="Y205" s="2">
        <f t="shared" si="7"/>
        <v>127</v>
      </c>
    </row>
    <row r="206" spans="1:25" x14ac:dyDescent="0.25">
      <c r="A206" s="2" t="s">
        <v>21</v>
      </c>
      <c r="B206" s="2" t="s">
        <v>72</v>
      </c>
      <c r="C206" s="2" t="s">
        <v>465</v>
      </c>
      <c r="D206" s="2" t="s">
        <v>88</v>
      </c>
      <c r="E206" s="2" t="s">
        <v>466</v>
      </c>
      <c r="F206" s="2" t="s">
        <v>467</v>
      </c>
      <c r="G206" s="2" t="s">
        <v>111</v>
      </c>
      <c r="H206" s="2" t="s">
        <v>468</v>
      </c>
      <c r="I206" s="2" t="s">
        <v>491</v>
      </c>
      <c r="J206" s="2" t="s">
        <v>492</v>
      </c>
      <c r="K206" s="2" t="s">
        <v>31</v>
      </c>
      <c r="L206" s="2" t="s">
        <v>493</v>
      </c>
      <c r="M206" s="2" t="s">
        <v>33</v>
      </c>
      <c r="N206" s="2" t="s">
        <v>34</v>
      </c>
      <c r="O206" s="2" t="s">
        <v>35</v>
      </c>
      <c r="P206" s="3">
        <v>129.87</v>
      </c>
      <c r="Q206" s="2">
        <v>473414432</v>
      </c>
      <c r="R206" s="2" t="s">
        <v>494</v>
      </c>
      <c r="S206" s="2" t="s">
        <v>472</v>
      </c>
      <c r="T206" s="2">
        <v>65</v>
      </c>
      <c r="U206" s="2" t="s">
        <v>38</v>
      </c>
      <c r="V206" s="2" t="s">
        <v>495</v>
      </c>
      <c r="W206" s="5">
        <f>IF(I206="","",DATE(2000+MID(I206,8,2),MATCH(MID(I206,4,3),{"Jan","Feb","Mar","Apr","May","Jun","Jul","Aug","Sep","Oct","Nov","Dec"},0),1))</f>
        <v>45992</v>
      </c>
      <c r="X206" s="2">
        <f t="shared" si="6"/>
        <v>227.19</v>
      </c>
      <c r="Y206" s="2">
        <f t="shared" si="7"/>
        <v>127</v>
      </c>
    </row>
    <row r="207" spans="1:25" x14ac:dyDescent="0.25">
      <c r="A207" s="2" t="s">
        <v>21</v>
      </c>
      <c r="B207" s="2" t="s">
        <v>61</v>
      </c>
      <c r="C207" s="2" t="s">
        <v>62</v>
      </c>
      <c r="D207" s="2" t="s">
        <v>42</v>
      </c>
      <c r="E207" s="2" t="s">
        <v>63</v>
      </c>
      <c r="F207" s="2" t="s">
        <v>64</v>
      </c>
      <c r="G207" s="2" t="s">
        <v>65</v>
      </c>
      <c r="H207" s="2" t="s">
        <v>66</v>
      </c>
      <c r="I207" s="2" t="s">
        <v>67</v>
      </c>
      <c r="J207" s="2" t="s">
        <v>68</v>
      </c>
      <c r="K207" s="2" t="s">
        <v>31</v>
      </c>
      <c r="L207" s="2" t="s">
        <v>69</v>
      </c>
      <c r="M207" s="2" t="s">
        <v>33</v>
      </c>
      <c r="N207" s="2" t="s">
        <v>34</v>
      </c>
      <c r="O207" s="2" t="s">
        <v>35</v>
      </c>
      <c r="P207" s="3">
        <v>363.76</v>
      </c>
      <c r="R207" s="2" t="s">
        <v>70</v>
      </c>
      <c r="S207" s="4"/>
      <c r="T207" s="4"/>
      <c r="U207" s="2" t="s">
        <v>71</v>
      </c>
      <c r="W207" s="5">
        <f>IF(I207="","",DATE(2000+MID(I207,8,2),MATCH(MID(I207,4,3),{"Jan","Feb","Mar","Apr","May","Jun","Jul","Aug","Sep","Oct","Nov","Dec"},0),1))</f>
        <v>45931</v>
      </c>
      <c r="X207" s="2">
        <f t="shared" si="6"/>
        <v>536</v>
      </c>
      <c r="Y207" s="2">
        <f t="shared" si="7"/>
        <v>1004</v>
      </c>
    </row>
    <row r="208" spans="1:25" x14ac:dyDescent="0.25">
      <c r="A208" s="2" t="s">
        <v>21</v>
      </c>
      <c r="B208" s="2" t="s">
        <v>109</v>
      </c>
      <c r="C208" s="2" t="s">
        <v>110</v>
      </c>
      <c r="D208" s="2" t="s">
        <v>111</v>
      </c>
      <c r="E208" s="2" t="s">
        <v>112</v>
      </c>
      <c r="F208" s="2" t="s">
        <v>113</v>
      </c>
      <c r="G208" s="2" t="s">
        <v>55</v>
      </c>
      <c r="H208" s="2" t="s">
        <v>114</v>
      </c>
      <c r="I208" s="2" t="s">
        <v>115</v>
      </c>
      <c r="J208" s="2" t="s">
        <v>116</v>
      </c>
      <c r="K208" s="2" t="s">
        <v>31</v>
      </c>
      <c r="L208" s="2" t="s">
        <v>117</v>
      </c>
      <c r="M208" s="2" t="s">
        <v>33</v>
      </c>
      <c r="N208" s="2" t="s">
        <v>34</v>
      </c>
      <c r="O208" s="2" t="s">
        <v>35</v>
      </c>
      <c r="P208" s="3">
        <v>159.38</v>
      </c>
      <c r="Q208" s="2">
        <v>221079223</v>
      </c>
      <c r="R208" s="2" t="s">
        <v>118</v>
      </c>
      <c r="S208" s="4"/>
      <c r="T208" s="4"/>
      <c r="U208" s="2" t="s">
        <v>119</v>
      </c>
      <c r="V208" s="2" t="s">
        <v>120</v>
      </c>
      <c r="W208" s="5">
        <f>IF(I208="","",DATE(2000+MID(I208,8,2),MATCH(MID(I208,4,3),{"Jan","Feb","Mar","Apr","May","Jun","Jul","Aug","Sep","Oct","Nov","Dec"},0),1))</f>
        <v>45931</v>
      </c>
      <c r="X208" s="2">
        <f t="shared" si="6"/>
        <v>470</v>
      </c>
      <c r="Y208" s="2">
        <f t="shared" si="7"/>
        <v>646</v>
      </c>
    </row>
    <row r="209" spans="1:25" x14ac:dyDescent="0.25">
      <c r="A209" s="2" t="s">
        <v>21</v>
      </c>
      <c r="B209" s="2" t="s">
        <v>86</v>
      </c>
      <c r="C209" s="2" t="s">
        <v>87</v>
      </c>
      <c r="D209" s="2" t="s">
        <v>88</v>
      </c>
      <c r="E209" s="2" t="s">
        <v>158</v>
      </c>
      <c r="F209" s="2" t="s">
        <v>151</v>
      </c>
      <c r="G209" s="2" t="s">
        <v>152</v>
      </c>
      <c r="H209" s="2" t="s">
        <v>159</v>
      </c>
      <c r="I209" s="2" t="s">
        <v>160</v>
      </c>
      <c r="J209" s="2" t="s">
        <v>161</v>
      </c>
      <c r="K209" s="2" t="s">
        <v>31</v>
      </c>
      <c r="L209" s="2" t="s">
        <v>162</v>
      </c>
      <c r="M209" s="2" t="s">
        <v>33</v>
      </c>
      <c r="N209" s="2" t="s">
        <v>34</v>
      </c>
      <c r="O209" s="2" t="s">
        <v>35</v>
      </c>
      <c r="P209" s="3">
        <v>129.87</v>
      </c>
      <c r="Q209" s="2">
        <v>473417964</v>
      </c>
      <c r="R209" s="2" t="s">
        <v>163</v>
      </c>
      <c r="S209" s="4"/>
      <c r="T209" s="4"/>
      <c r="U209" s="2" t="s">
        <v>119</v>
      </c>
      <c r="V209" s="2" t="s">
        <v>164</v>
      </c>
      <c r="W209" s="5">
        <f>IF(I209="","",DATE(2000+MID(I209,8,2),MATCH(MID(I209,4,3),{"Jan","Feb","Mar","Apr","May","Jun","Jul","Aug","Sep","Oct","Nov","Dec"},0),1))</f>
        <v>45931</v>
      </c>
      <c r="X209" s="2">
        <f t="shared" si="6"/>
        <v>310.62</v>
      </c>
      <c r="Y209" s="2">
        <f t="shared" si="7"/>
        <v>995</v>
      </c>
    </row>
    <row r="210" spans="1:25" x14ac:dyDescent="0.25">
      <c r="A210" s="2" t="s">
        <v>21</v>
      </c>
      <c r="B210" s="2" t="s">
        <v>72</v>
      </c>
      <c r="C210" s="2" t="s">
        <v>286</v>
      </c>
      <c r="D210" s="2" t="s">
        <v>98</v>
      </c>
      <c r="E210" s="2" t="s">
        <v>287</v>
      </c>
      <c r="F210" s="2" t="s">
        <v>288</v>
      </c>
      <c r="G210" s="2" t="s">
        <v>88</v>
      </c>
      <c r="H210" s="2" t="s">
        <v>289</v>
      </c>
      <c r="I210" s="2" t="s">
        <v>280</v>
      </c>
      <c r="J210" s="2" t="s">
        <v>290</v>
      </c>
      <c r="K210" s="2" t="s">
        <v>31</v>
      </c>
      <c r="L210" s="2" t="s">
        <v>291</v>
      </c>
      <c r="M210" s="2" t="s">
        <v>33</v>
      </c>
      <c r="N210" s="2" t="s">
        <v>34</v>
      </c>
      <c r="O210" s="2" t="s">
        <v>35</v>
      </c>
      <c r="P210" s="3">
        <v>131.1</v>
      </c>
      <c r="R210" s="2" t="s">
        <v>292</v>
      </c>
      <c r="S210" s="4"/>
      <c r="T210" s="4"/>
      <c r="U210" s="2" t="s">
        <v>71</v>
      </c>
      <c r="W210" s="5">
        <f>IF(I210="","",DATE(2000+MID(I210,8,2),MATCH(MID(I210,4,3),{"Jan","Feb","Mar","Apr","May","Jun","Jul","Aug","Sep","Oct","Nov","Dec"},0),1))</f>
        <v>45962</v>
      </c>
      <c r="X210" s="2">
        <f t="shared" si="6"/>
        <v>57</v>
      </c>
      <c r="Y210" s="2">
        <f t="shared" si="7"/>
        <v>310</v>
      </c>
    </row>
    <row r="211" spans="1:25" x14ac:dyDescent="0.25">
      <c r="A211" s="2" t="s">
        <v>21</v>
      </c>
      <c r="B211" s="2" t="s">
        <v>72</v>
      </c>
      <c r="C211" s="2" t="s">
        <v>1170</v>
      </c>
      <c r="D211" s="2" t="s">
        <v>135</v>
      </c>
      <c r="E211" s="2" t="s">
        <v>1171</v>
      </c>
      <c r="F211" s="2" t="s">
        <v>1172</v>
      </c>
      <c r="G211" s="2" t="s">
        <v>382</v>
      </c>
      <c r="H211" s="2" t="s">
        <v>1173</v>
      </c>
      <c r="I211" s="2" t="s">
        <v>1152</v>
      </c>
      <c r="J211" s="2" t="s">
        <v>1174</v>
      </c>
      <c r="K211" s="2" t="s">
        <v>31</v>
      </c>
      <c r="L211" s="2" t="s">
        <v>1175</v>
      </c>
      <c r="M211" s="2" t="s">
        <v>33</v>
      </c>
      <c r="N211" s="2" t="s">
        <v>34</v>
      </c>
      <c r="O211" s="2" t="s">
        <v>35</v>
      </c>
      <c r="P211" s="3">
        <v>144.63999999999999</v>
      </c>
      <c r="Q211" s="2">
        <v>622500311</v>
      </c>
      <c r="R211" s="2" t="s">
        <v>1176</v>
      </c>
      <c r="S211" s="4"/>
      <c r="T211" s="4"/>
      <c r="U211" s="2" t="s">
        <v>71</v>
      </c>
      <c r="V211" s="2" t="s">
        <v>1177</v>
      </c>
      <c r="W211" s="5">
        <f>IF(I211="","",DATE(2000+MID(I211,8,2),MATCH(MID(I211,4,3),{"Jan","Feb","Mar","Apr","May","Jun","Jul","Aug","Sep","Oct","Nov","Dec"},0),1))</f>
        <v>46082</v>
      </c>
      <c r="X211" s="2">
        <f t="shared" si="6"/>
        <v>275</v>
      </c>
      <c r="Y211" s="2">
        <f t="shared" si="7"/>
        <v>156</v>
      </c>
    </row>
    <row r="212" spans="1:25" x14ac:dyDescent="0.25">
      <c r="A212" s="2" t="s">
        <v>21</v>
      </c>
      <c r="B212" s="2" t="s">
        <v>550</v>
      </c>
      <c r="C212" s="2" t="s">
        <v>551</v>
      </c>
      <c r="D212" s="2" t="s">
        <v>27</v>
      </c>
      <c r="E212" s="2" t="s">
        <v>1184</v>
      </c>
      <c r="F212" s="2" t="s">
        <v>876</v>
      </c>
      <c r="G212" s="2" t="s">
        <v>65</v>
      </c>
      <c r="H212" s="2" t="s">
        <v>1185</v>
      </c>
      <c r="I212" s="2" t="s">
        <v>1186</v>
      </c>
      <c r="J212" s="2" t="s">
        <v>1187</v>
      </c>
      <c r="K212" s="2" t="s">
        <v>31</v>
      </c>
      <c r="L212" s="2" t="s">
        <v>1188</v>
      </c>
      <c r="M212" s="2" t="s">
        <v>33</v>
      </c>
      <c r="N212" s="2" t="s">
        <v>34</v>
      </c>
      <c r="O212" s="2" t="s">
        <v>35</v>
      </c>
      <c r="P212" s="3">
        <v>675.34</v>
      </c>
      <c r="Q212" s="2">
        <v>681804167</v>
      </c>
      <c r="R212" s="2" t="s">
        <v>1189</v>
      </c>
      <c r="S212" s="4"/>
      <c r="T212" s="4"/>
      <c r="U212" s="2" t="s">
        <v>71</v>
      </c>
      <c r="V212" s="2" t="s">
        <v>1190</v>
      </c>
      <c r="W212" s="5">
        <f>IF(I212="","",DATE(2000+MID(I212,8,2),MATCH(MID(I212,4,3),{"Jan","Feb","Mar","Apr","May","Jun","Jul","Aug","Sep","Oct","Nov","Dec"},0),1))</f>
        <v>46082</v>
      </c>
      <c r="X212" s="2">
        <f t="shared" si="6"/>
        <v>1815</v>
      </c>
      <c r="Y212" s="2">
        <f t="shared" si="7"/>
        <v>1041</v>
      </c>
    </row>
    <row r="213" spans="1:25" x14ac:dyDescent="0.25">
      <c r="A213" s="2" t="s">
        <v>21</v>
      </c>
      <c r="B213" s="2" t="s">
        <v>712</v>
      </c>
      <c r="C213" s="2" t="s">
        <v>713</v>
      </c>
      <c r="D213" s="2" t="s">
        <v>111</v>
      </c>
      <c r="E213" s="2" t="s">
        <v>714</v>
      </c>
      <c r="F213" s="2" t="s">
        <v>715</v>
      </c>
      <c r="G213" s="2" t="s">
        <v>65</v>
      </c>
      <c r="H213" s="2" t="s">
        <v>716</v>
      </c>
      <c r="I213" s="2" t="s">
        <v>1334</v>
      </c>
      <c r="J213" s="2" t="s">
        <v>1335</v>
      </c>
      <c r="K213" s="2" t="s">
        <v>31</v>
      </c>
      <c r="L213" s="2" t="s">
        <v>719</v>
      </c>
      <c r="M213" s="2" t="s">
        <v>33</v>
      </c>
      <c r="N213" s="2" t="s">
        <v>1318</v>
      </c>
      <c r="O213" s="2" t="s">
        <v>1319</v>
      </c>
      <c r="P213" s="3">
        <v>165.6</v>
      </c>
      <c r="Q213" s="2">
        <v>456621008</v>
      </c>
      <c r="R213" s="2" t="s">
        <v>1336</v>
      </c>
      <c r="S213" s="4"/>
      <c r="T213" s="4"/>
      <c r="U213" s="2" t="s">
        <v>38</v>
      </c>
      <c r="V213" s="2" t="s">
        <v>1337</v>
      </c>
      <c r="W213" s="5">
        <f>IF(I213="","",DATE(2000+MID(I213,8,2),MATCH(MID(I213,4,3),{"Jan","Feb","Mar","Apr","May","Jun","Jul","Aug","Sep","Oct","Nov","Dec"},0),1))</f>
        <v>45931</v>
      </c>
      <c r="X213" s="2">
        <f t="shared" si="6"/>
        <v>240</v>
      </c>
      <c r="Y213" s="2">
        <f t="shared" si="7"/>
        <v>545</v>
      </c>
    </row>
    <row r="214" spans="1:25" x14ac:dyDescent="0.25">
      <c r="A214" s="2" t="s">
        <v>21</v>
      </c>
      <c r="B214" s="2" t="s">
        <v>86</v>
      </c>
      <c r="C214" s="2" t="s">
        <v>87</v>
      </c>
      <c r="D214" s="2" t="s">
        <v>88</v>
      </c>
      <c r="E214" s="2" t="s">
        <v>318</v>
      </c>
      <c r="F214" s="2" t="s">
        <v>319</v>
      </c>
      <c r="G214" s="2" t="s">
        <v>98</v>
      </c>
      <c r="H214" s="2" t="s">
        <v>1338</v>
      </c>
      <c r="I214" s="2" t="s">
        <v>1339</v>
      </c>
      <c r="J214" s="2" t="s">
        <v>1340</v>
      </c>
      <c r="K214" s="2" t="s">
        <v>31</v>
      </c>
      <c r="L214" s="2" t="s">
        <v>1341</v>
      </c>
      <c r="M214" s="2" t="s">
        <v>33</v>
      </c>
      <c r="N214" s="2" t="s">
        <v>1318</v>
      </c>
      <c r="O214" s="2" t="s">
        <v>1319</v>
      </c>
      <c r="P214" s="3">
        <v>166</v>
      </c>
      <c r="Q214" s="2">
        <v>458408379</v>
      </c>
      <c r="R214" s="2" t="s">
        <v>1342</v>
      </c>
      <c r="S214" s="4"/>
      <c r="T214" s="4"/>
      <c r="U214" s="2" t="s">
        <v>38</v>
      </c>
      <c r="V214" s="2" t="s">
        <v>1343</v>
      </c>
      <c r="W214" s="5">
        <f>IF(I214="","",DATE(2000+MID(I214,8,2),MATCH(MID(I214,4,3),{"Jan","Feb","Mar","Apr","May","Jun","Jul","Aug","Sep","Oct","Nov","Dec"},0),1))</f>
        <v>45931</v>
      </c>
      <c r="X214" s="2">
        <f t="shared" si="6"/>
        <v>112.8</v>
      </c>
      <c r="Y214" s="2">
        <f t="shared" si="7"/>
        <v>273</v>
      </c>
    </row>
    <row r="215" spans="1:25" x14ac:dyDescent="0.25">
      <c r="A215" s="2" t="s">
        <v>21</v>
      </c>
      <c r="B215" s="2" t="s">
        <v>86</v>
      </c>
      <c r="C215" s="2" t="s">
        <v>87</v>
      </c>
      <c r="D215" s="2" t="s">
        <v>88</v>
      </c>
      <c r="E215" s="2" t="s">
        <v>753</v>
      </c>
      <c r="F215" s="2" t="s">
        <v>754</v>
      </c>
      <c r="G215" s="2" t="s">
        <v>74</v>
      </c>
      <c r="H215" s="2" t="s">
        <v>1344</v>
      </c>
      <c r="I215" s="2" t="s">
        <v>1345</v>
      </c>
      <c r="J215" s="2" t="s">
        <v>1346</v>
      </c>
      <c r="K215" s="2" t="s">
        <v>31</v>
      </c>
      <c r="L215" s="2" t="s">
        <v>1347</v>
      </c>
      <c r="M215" s="2" t="s">
        <v>33</v>
      </c>
      <c r="N215" s="2" t="s">
        <v>1318</v>
      </c>
      <c r="O215" s="2" t="s">
        <v>1319</v>
      </c>
      <c r="P215" s="3">
        <v>617.29</v>
      </c>
      <c r="Q215" s="2">
        <v>463524021</v>
      </c>
      <c r="R215" s="2" t="s">
        <v>1348</v>
      </c>
      <c r="S215" s="4"/>
      <c r="T215" s="4"/>
      <c r="U215" s="2" t="s">
        <v>51</v>
      </c>
      <c r="V215" s="2" t="s">
        <v>1349</v>
      </c>
      <c r="W215" s="5">
        <f>IF(I215="","",DATE(2000+MID(I215,8,2),MATCH(MID(I215,4,3),{"Jan","Feb","Mar","Apr","May","Jun","Jul","Aug","Sep","Oct","Nov","Dec"},0),1))</f>
        <v>45931</v>
      </c>
      <c r="X215" s="2">
        <f t="shared" si="6"/>
        <v>3916.8</v>
      </c>
      <c r="Y215" s="2">
        <f t="shared" si="7"/>
        <v>844</v>
      </c>
    </row>
    <row r="216" spans="1:25" x14ac:dyDescent="0.25">
      <c r="A216" s="2" t="s">
        <v>21</v>
      </c>
      <c r="B216" s="2" t="s">
        <v>72</v>
      </c>
      <c r="C216" s="2" t="s">
        <v>465</v>
      </c>
      <c r="D216" s="2" t="s">
        <v>88</v>
      </c>
      <c r="E216" s="2" t="s">
        <v>466</v>
      </c>
      <c r="F216" s="2" t="s">
        <v>467</v>
      </c>
      <c r="G216" s="2" t="s">
        <v>111</v>
      </c>
      <c r="H216" s="2" t="s">
        <v>468</v>
      </c>
      <c r="I216" s="2" t="s">
        <v>1334</v>
      </c>
      <c r="J216" s="2" t="s">
        <v>1335</v>
      </c>
      <c r="K216" s="2" t="s">
        <v>31</v>
      </c>
      <c r="L216" s="2" t="s">
        <v>1350</v>
      </c>
      <c r="M216" s="2" t="s">
        <v>33</v>
      </c>
      <c r="N216" s="2" t="s">
        <v>1318</v>
      </c>
      <c r="O216" s="2" t="s">
        <v>1319</v>
      </c>
      <c r="P216" s="3">
        <v>166</v>
      </c>
      <c r="Q216" s="2">
        <v>458408361</v>
      </c>
      <c r="R216" s="2" t="s">
        <v>1351</v>
      </c>
      <c r="S216" s="4"/>
      <c r="T216" s="4"/>
      <c r="U216" s="2" t="s">
        <v>38</v>
      </c>
      <c r="V216" s="2" t="s">
        <v>1352</v>
      </c>
      <c r="W216" s="5">
        <f>IF(I216="","",DATE(2000+MID(I216,8,2),MATCH(MID(I216,4,3),{"Jan","Feb","Mar","Apr","May","Jun","Jul","Aug","Sep","Oct","Nov","Dec"},0),1))</f>
        <v>45931</v>
      </c>
      <c r="X216" s="2">
        <f t="shared" si="6"/>
        <v>254.64</v>
      </c>
      <c r="Y216" s="2">
        <f t="shared" si="7"/>
        <v>127</v>
      </c>
    </row>
    <row r="217" spans="1:25" x14ac:dyDescent="0.25">
      <c r="A217" s="2" t="s">
        <v>21</v>
      </c>
      <c r="B217" s="2" t="s">
        <v>1353</v>
      </c>
      <c r="C217" s="2" t="s">
        <v>1354</v>
      </c>
      <c r="D217" s="2" t="s">
        <v>65</v>
      </c>
      <c r="E217" s="2" t="s">
        <v>1355</v>
      </c>
      <c r="F217" s="2" t="s">
        <v>1356</v>
      </c>
      <c r="G217" s="2" t="s">
        <v>65</v>
      </c>
      <c r="H217" s="2" t="s">
        <v>1357</v>
      </c>
      <c r="I217" s="2" t="s">
        <v>211</v>
      </c>
      <c r="J217" s="2" t="s">
        <v>212</v>
      </c>
      <c r="K217" s="2" t="s">
        <v>31</v>
      </c>
      <c r="L217" s="2" t="s">
        <v>1358</v>
      </c>
      <c r="M217" s="2" t="s">
        <v>33</v>
      </c>
      <c r="N217" s="2" t="s">
        <v>1318</v>
      </c>
      <c r="O217" s="2" t="s">
        <v>1319</v>
      </c>
      <c r="P217" s="3">
        <v>135.91</v>
      </c>
      <c r="Q217" s="2">
        <v>432537996</v>
      </c>
      <c r="R217" s="2" t="s">
        <v>1359</v>
      </c>
      <c r="S217" s="4"/>
      <c r="T217" s="4"/>
      <c r="U217" s="2" t="s">
        <v>119</v>
      </c>
      <c r="V217" s="2" t="s">
        <v>1360</v>
      </c>
      <c r="W217" s="5">
        <f>IF(I217="","",DATE(2000+MID(I217,8,2),MATCH(MID(I217,4,3),{"Jan","Feb","Mar","Apr","May","Jun","Jul","Aug","Sep","Oct","Nov","Dec"},0),1))</f>
        <v>45931</v>
      </c>
      <c r="X217" s="2">
        <f t="shared" si="6"/>
        <v>3130</v>
      </c>
      <c r="Y217" s="2">
        <f t="shared" si="7"/>
        <v>232</v>
      </c>
    </row>
    <row r="218" spans="1:25" x14ac:dyDescent="0.25">
      <c r="A218" s="2" t="s">
        <v>21</v>
      </c>
      <c r="B218" s="2" t="s">
        <v>72</v>
      </c>
      <c r="C218" s="2" t="s">
        <v>465</v>
      </c>
      <c r="D218" s="2" t="s">
        <v>88</v>
      </c>
      <c r="E218" s="2" t="s">
        <v>1361</v>
      </c>
      <c r="F218" s="2" t="s">
        <v>1362</v>
      </c>
      <c r="G218" s="2" t="s">
        <v>111</v>
      </c>
      <c r="H218" s="2" t="s">
        <v>1363</v>
      </c>
      <c r="I218" s="2" t="s">
        <v>1334</v>
      </c>
      <c r="J218" s="2" t="s">
        <v>1335</v>
      </c>
      <c r="K218" s="2" t="s">
        <v>31</v>
      </c>
      <c r="L218" s="2" t="s">
        <v>1364</v>
      </c>
      <c r="M218" s="2" t="s">
        <v>33</v>
      </c>
      <c r="N218" s="2" t="s">
        <v>1318</v>
      </c>
      <c r="O218" s="2" t="s">
        <v>1319</v>
      </c>
      <c r="P218" s="3">
        <v>166</v>
      </c>
      <c r="Q218" s="2">
        <v>458408352</v>
      </c>
      <c r="R218" s="2" t="s">
        <v>1365</v>
      </c>
      <c r="S218" s="4"/>
      <c r="T218" s="4"/>
      <c r="U218" s="2" t="s">
        <v>38</v>
      </c>
      <c r="V218" s="2" t="s">
        <v>1352</v>
      </c>
      <c r="W218" s="5">
        <f>IF(I218="","",DATE(2000+MID(I218,8,2),MATCH(MID(I218,4,3),{"Jan","Feb","Mar","Apr","May","Jun","Jul","Aug","Sep","Oct","Nov","Dec"},0),1))</f>
        <v>45931</v>
      </c>
      <c r="X218" s="2">
        <f t="shared" si="6"/>
        <v>203.17</v>
      </c>
      <c r="Y218" s="2">
        <f t="shared" si="7"/>
        <v>164</v>
      </c>
    </row>
    <row r="219" spans="1:25" x14ac:dyDescent="0.25">
      <c r="A219" s="2" t="s">
        <v>21</v>
      </c>
      <c r="B219" s="2" t="s">
        <v>86</v>
      </c>
      <c r="C219" s="2" t="s">
        <v>87</v>
      </c>
      <c r="D219" s="2" t="s">
        <v>88</v>
      </c>
      <c r="E219" s="2" t="s">
        <v>318</v>
      </c>
      <c r="F219" s="2" t="s">
        <v>319</v>
      </c>
      <c r="G219" s="2" t="s">
        <v>98</v>
      </c>
      <c r="H219" s="2" t="s">
        <v>1338</v>
      </c>
      <c r="I219" s="2" t="s">
        <v>1382</v>
      </c>
      <c r="J219" s="2" t="s">
        <v>1383</v>
      </c>
      <c r="K219" s="2" t="s">
        <v>31</v>
      </c>
      <c r="L219" s="2" t="s">
        <v>1384</v>
      </c>
      <c r="M219" s="2" t="s">
        <v>33</v>
      </c>
      <c r="N219" s="2" t="s">
        <v>1318</v>
      </c>
      <c r="O219" s="2" t="s">
        <v>1319</v>
      </c>
      <c r="P219" s="3">
        <v>166</v>
      </c>
      <c r="Q219" s="2">
        <v>463524063</v>
      </c>
      <c r="R219" s="2" t="s">
        <v>1385</v>
      </c>
      <c r="S219" s="4"/>
      <c r="T219" s="4"/>
      <c r="U219" s="2" t="s">
        <v>38</v>
      </c>
      <c r="V219" s="2" t="s">
        <v>1386</v>
      </c>
      <c r="W219" s="5">
        <f>IF(I219="","",DATE(2000+MID(I219,8,2),MATCH(MID(I219,4,3),{"Jan","Feb","Mar","Apr","May","Jun","Jul","Aug","Sep","Oct","Nov","Dec"},0),1))</f>
        <v>45931</v>
      </c>
      <c r="X219" s="2">
        <f t="shared" si="6"/>
        <v>124.95</v>
      </c>
      <c r="Y219" s="2">
        <f t="shared" si="7"/>
        <v>273</v>
      </c>
    </row>
    <row r="220" spans="1:25" x14ac:dyDescent="0.25">
      <c r="A220" s="2" t="s">
        <v>21</v>
      </c>
      <c r="B220" s="2" t="s">
        <v>1387</v>
      </c>
      <c r="C220" s="2" t="s">
        <v>1388</v>
      </c>
      <c r="D220" s="2" t="s">
        <v>427</v>
      </c>
      <c r="E220" s="2" t="s">
        <v>1389</v>
      </c>
      <c r="F220" s="2" t="s">
        <v>1390</v>
      </c>
      <c r="G220" s="2" t="s">
        <v>88</v>
      </c>
      <c r="H220" s="2" t="s">
        <v>1068</v>
      </c>
      <c r="I220" s="2" t="s">
        <v>1391</v>
      </c>
      <c r="J220" s="2" t="s">
        <v>1392</v>
      </c>
      <c r="K220" s="2" t="s">
        <v>31</v>
      </c>
      <c r="L220" s="2" t="s">
        <v>1393</v>
      </c>
      <c r="M220" s="2" t="s">
        <v>33</v>
      </c>
      <c r="N220" s="2" t="s">
        <v>1318</v>
      </c>
      <c r="O220" s="2" t="s">
        <v>1319</v>
      </c>
      <c r="P220" s="3">
        <v>166</v>
      </c>
      <c r="Q220" s="2">
        <v>435962221</v>
      </c>
      <c r="R220" s="2" t="s">
        <v>1394</v>
      </c>
      <c r="S220" s="4"/>
      <c r="T220" s="4"/>
      <c r="U220" s="2" t="s">
        <v>71</v>
      </c>
      <c r="V220" s="2" t="s">
        <v>1395</v>
      </c>
      <c r="W220" s="5">
        <f>IF(I220="","",DATE(2000+MID(I220,8,2),MATCH(MID(I220,4,3),{"Jan","Feb","Mar","Apr","May","Jun","Jul","Aug","Sep","Oct","Nov","Dec"},0),1))</f>
        <v>45931</v>
      </c>
      <c r="X220" s="2">
        <f t="shared" si="6"/>
        <v>116</v>
      </c>
      <c r="Y220" s="2">
        <f t="shared" si="7"/>
        <v>196</v>
      </c>
    </row>
    <row r="221" spans="1:25" x14ac:dyDescent="0.25">
      <c r="A221" s="2" t="s">
        <v>21</v>
      </c>
      <c r="B221" s="2" t="s">
        <v>1184</v>
      </c>
      <c r="C221" s="2" t="s">
        <v>876</v>
      </c>
      <c r="D221" s="2" t="s">
        <v>65</v>
      </c>
      <c r="E221" s="2" t="s">
        <v>1396</v>
      </c>
      <c r="F221" s="2" t="s">
        <v>1397</v>
      </c>
      <c r="G221" s="2" t="s">
        <v>111</v>
      </c>
      <c r="H221" s="2" t="s">
        <v>1398</v>
      </c>
      <c r="I221" s="2" t="s">
        <v>1339</v>
      </c>
      <c r="J221" s="2" t="s">
        <v>1399</v>
      </c>
      <c r="K221" s="2" t="s">
        <v>31</v>
      </c>
      <c r="L221" s="2" t="s">
        <v>1400</v>
      </c>
      <c r="M221" s="2" t="s">
        <v>33</v>
      </c>
      <c r="N221" s="2" t="s">
        <v>1318</v>
      </c>
      <c r="O221" s="2" t="s">
        <v>1319</v>
      </c>
      <c r="P221" s="3">
        <v>166</v>
      </c>
      <c r="Q221" s="2">
        <v>457490063</v>
      </c>
      <c r="R221" s="2" t="s">
        <v>1401</v>
      </c>
      <c r="S221" s="4"/>
      <c r="T221" s="4"/>
      <c r="U221" s="2" t="s">
        <v>71</v>
      </c>
      <c r="V221" s="2" t="s">
        <v>1402</v>
      </c>
      <c r="W221" s="5">
        <f>IF(I221="","",DATE(2000+MID(I221,8,2),MATCH(MID(I221,4,3),{"Jan","Feb","Mar","Apr","May","Jun","Jul","Aug","Sep","Oct","Nov","Dec"},0),1))</f>
        <v>45931</v>
      </c>
      <c r="X221" s="2">
        <f t="shared" si="6"/>
        <v>107.74</v>
      </c>
      <c r="Y221" s="2">
        <f t="shared" si="7"/>
        <v>427</v>
      </c>
    </row>
    <row r="222" spans="1:25" x14ac:dyDescent="0.25">
      <c r="A222" s="2" t="s">
        <v>21</v>
      </c>
      <c r="B222" s="2" t="s">
        <v>72</v>
      </c>
      <c r="C222" s="2" t="s">
        <v>465</v>
      </c>
      <c r="D222" s="2" t="s">
        <v>88</v>
      </c>
      <c r="E222" s="2" t="s">
        <v>1416</v>
      </c>
      <c r="F222" s="2" t="s">
        <v>1417</v>
      </c>
      <c r="G222" s="2" t="s">
        <v>111</v>
      </c>
      <c r="H222" s="2" t="s">
        <v>1418</v>
      </c>
      <c r="I222" s="2" t="s">
        <v>1345</v>
      </c>
      <c r="J222" s="2" t="s">
        <v>1392</v>
      </c>
      <c r="K222" s="2" t="s">
        <v>31</v>
      </c>
      <c r="L222" s="2" t="s">
        <v>1419</v>
      </c>
      <c r="M222" s="2" t="s">
        <v>33</v>
      </c>
      <c r="N222" s="2" t="s">
        <v>1318</v>
      </c>
      <c r="O222" s="2" t="s">
        <v>1319</v>
      </c>
      <c r="P222" s="3">
        <v>166</v>
      </c>
      <c r="Q222" s="2">
        <v>463524071</v>
      </c>
      <c r="R222" s="2" t="s">
        <v>1420</v>
      </c>
      <c r="S222" s="4"/>
      <c r="T222" s="4"/>
      <c r="U222" s="2" t="s">
        <v>38</v>
      </c>
      <c r="V222" s="2" t="s">
        <v>1421</v>
      </c>
      <c r="W222" s="5">
        <f>IF(I222="","",DATE(2000+MID(I222,8,2),MATCH(MID(I222,4,3),{"Jan","Feb","Mar","Apr","May","Jun","Jul","Aug","Sep","Oct","Nov","Dec"},0),1))</f>
        <v>45931</v>
      </c>
      <c r="X222" s="2">
        <f t="shared" si="6"/>
        <v>52</v>
      </c>
      <c r="Y222" s="2">
        <f t="shared" si="7"/>
        <v>107</v>
      </c>
    </row>
    <row r="223" spans="1:25" x14ac:dyDescent="0.25">
      <c r="A223" s="2" t="s">
        <v>21</v>
      </c>
      <c r="B223" s="2" t="s">
        <v>712</v>
      </c>
      <c r="C223" s="2" t="s">
        <v>713</v>
      </c>
      <c r="D223" s="2" t="s">
        <v>111</v>
      </c>
      <c r="E223" s="2" t="s">
        <v>714</v>
      </c>
      <c r="F223" s="2" t="s">
        <v>715</v>
      </c>
      <c r="G223" s="2" t="s">
        <v>65</v>
      </c>
      <c r="H223" s="2" t="s">
        <v>716</v>
      </c>
      <c r="I223" s="2" t="s">
        <v>1382</v>
      </c>
      <c r="J223" s="2" t="s">
        <v>169</v>
      </c>
      <c r="K223" s="2" t="s">
        <v>31</v>
      </c>
      <c r="L223" s="2" t="s">
        <v>719</v>
      </c>
      <c r="M223" s="2" t="s">
        <v>33</v>
      </c>
      <c r="N223" s="2" t="s">
        <v>1318</v>
      </c>
      <c r="O223" s="2" t="s">
        <v>1319</v>
      </c>
      <c r="P223" s="3">
        <v>166</v>
      </c>
      <c r="Q223" s="2">
        <v>369829158</v>
      </c>
      <c r="R223" s="2" t="s">
        <v>1422</v>
      </c>
      <c r="S223" s="4"/>
      <c r="T223" s="4"/>
      <c r="U223" s="2" t="s">
        <v>38</v>
      </c>
      <c r="V223" s="2" t="s">
        <v>1423</v>
      </c>
      <c r="W223" s="5">
        <f>IF(I223="","",DATE(2000+MID(I223,8,2),MATCH(MID(I223,4,3),{"Jan","Feb","Mar","Apr","May","Jun","Jul","Aug","Sep","Oct","Nov","Dec"},0),1))</f>
        <v>45931</v>
      </c>
      <c r="X223" s="2">
        <f t="shared" si="6"/>
        <v>240</v>
      </c>
      <c r="Y223" s="2">
        <f t="shared" si="7"/>
        <v>545</v>
      </c>
    </row>
    <row r="224" spans="1:25" x14ac:dyDescent="0.25">
      <c r="A224" s="2" t="s">
        <v>21</v>
      </c>
      <c r="B224" s="2" t="s">
        <v>72</v>
      </c>
      <c r="C224" s="2" t="s">
        <v>252</v>
      </c>
      <c r="D224" s="2" t="s">
        <v>65</v>
      </c>
      <c r="E224" s="2" t="s">
        <v>1424</v>
      </c>
      <c r="F224" s="2" t="s">
        <v>1425</v>
      </c>
      <c r="G224" s="2" t="s">
        <v>101</v>
      </c>
      <c r="H224" s="2" t="s">
        <v>1426</v>
      </c>
      <c r="I224" s="2" t="s">
        <v>246</v>
      </c>
      <c r="J224" s="2" t="s">
        <v>313</v>
      </c>
      <c r="K224" s="2" t="s">
        <v>31</v>
      </c>
      <c r="L224" s="2" t="s">
        <v>1427</v>
      </c>
      <c r="M224" s="2" t="s">
        <v>33</v>
      </c>
      <c r="N224" s="2" t="s">
        <v>1318</v>
      </c>
      <c r="O224" s="2" t="s">
        <v>1319</v>
      </c>
      <c r="P224" s="3">
        <v>170</v>
      </c>
      <c r="Q224" s="2">
        <v>462364763</v>
      </c>
      <c r="R224" s="2" t="s">
        <v>1428</v>
      </c>
      <c r="S224" s="4"/>
      <c r="T224" s="4"/>
      <c r="U224" s="2" t="s">
        <v>38</v>
      </c>
      <c r="V224" s="2" t="s">
        <v>1429</v>
      </c>
      <c r="W224" s="5">
        <f>IF(I224="","",DATE(2000+MID(I224,8,2),MATCH(MID(I224,4,3),{"Jan","Feb","Mar","Apr","May","Jun","Jul","Aug","Sep","Oct","Nov","Dec"},0),1))</f>
        <v>45962</v>
      </c>
      <c r="X224" s="2">
        <f t="shared" si="6"/>
        <v>399</v>
      </c>
      <c r="Y224" s="2">
        <f t="shared" si="7"/>
        <v>529</v>
      </c>
    </row>
    <row r="225" spans="1:25" x14ac:dyDescent="0.25">
      <c r="A225" s="2" t="s">
        <v>21</v>
      </c>
      <c r="B225" s="2" t="s">
        <v>72</v>
      </c>
      <c r="C225" s="2" t="s">
        <v>465</v>
      </c>
      <c r="D225" s="2" t="s">
        <v>88</v>
      </c>
      <c r="E225" s="2" t="s">
        <v>568</v>
      </c>
      <c r="F225" s="2" t="s">
        <v>569</v>
      </c>
      <c r="G225" s="2" t="s">
        <v>111</v>
      </c>
      <c r="H225" s="2" t="s">
        <v>570</v>
      </c>
      <c r="I225" s="2" t="s">
        <v>304</v>
      </c>
      <c r="J225" s="2" t="s">
        <v>1431</v>
      </c>
      <c r="K225" s="2" t="s">
        <v>31</v>
      </c>
      <c r="L225" s="2" t="s">
        <v>1432</v>
      </c>
      <c r="M225" s="2" t="s">
        <v>33</v>
      </c>
      <c r="N225" s="2" t="s">
        <v>1318</v>
      </c>
      <c r="O225" s="2" t="s">
        <v>1319</v>
      </c>
      <c r="P225" s="3">
        <v>166.4</v>
      </c>
      <c r="Q225" s="2">
        <v>463533313</v>
      </c>
      <c r="R225" s="2" t="s">
        <v>1433</v>
      </c>
      <c r="S225" s="4"/>
      <c r="T225" s="4"/>
      <c r="U225" s="2" t="s">
        <v>38</v>
      </c>
      <c r="V225" s="2" t="s">
        <v>1434</v>
      </c>
      <c r="W225" s="5">
        <f>IF(I225="","",DATE(2000+MID(I225,8,2),MATCH(MID(I225,4,3),{"Jan","Feb","Mar","Apr","May","Jun","Jul","Aug","Sep","Oct","Nov","Dec"},0),1))</f>
        <v>45962</v>
      </c>
      <c r="X225" s="2">
        <f t="shared" si="6"/>
        <v>300</v>
      </c>
      <c r="Y225" s="2">
        <f t="shared" si="7"/>
        <v>155</v>
      </c>
    </row>
    <row r="226" spans="1:25" x14ac:dyDescent="0.25">
      <c r="A226" s="2" t="s">
        <v>21</v>
      </c>
      <c r="B226" s="2" t="s">
        <v>72</v>
      </c>
      <c r="C226" s="2" t="s">
        <v>465</v>
      </c>
      <c r="D226" s="2" t="s">
        <v>88</v>
      </c>
      <c r="E226" s="2" t="s">
        <v>568</v>
      </c>
      <c r="F226" s="2" t="s">
        <v>569</v>
      </c>
      <c r="G226" s="2" t="s">
        <v>111</v>
      </c>
      <c r="H226" s="2" t="s">
        <v>570</v>
      </c>
      <c r="I226" s="2" t="s">
        <v>1435</v>
      </c>
      <c r="J226" s="2" t="s">
        <v>247</v>
      </c>
      <c r="K226" s="2" t="s">
        <v>31</v>
      </c>
      <c r="L226" s="2" t="s">
        <v>1436</v>
      </c>
      <c r="M226" s="2" t="s">
        <v>33</v>
      </c>
      <c r="N226" s="2" t="s">
        <v>1318</v>
      </c>
      <c r="O226" s="2" t="s">
        <v>1319</v>
      </c>
      <c r="P226" s="3">
        <v>166.4</v>
      </c>
      <c r="Q226" s="2">
        <v>463533321</v>
      </c>
      <c r="R226" s="2" t="s">
        <v>1437</v>
      </c>
      <c r="S226" s="4"/>
      <c r="T226" s="4"/>
      <c r="U226" s="2" t="s">
        <v>38</v>
      </c>
      <c r="V226" s="2" t="s">
        <v>1438</v>
      </c>
      <c r="W226" s="5">
        <f>IF(I226="","",DATE(2000+MID(I226,8,2),MATCH(MID(I226,4,3),{"Jan","Feb","Mar","Apr","May","Jun","Jul","Aug","Sep","Oct","Nov","Dec"},0),1))</f>
        <v>45962</v>
      </c>
      <c r="X226" s="2">
        <f t="shared" si="6"/>
        <v>240.03</v>
      </c>
      <c r="Y226" s="2">
        <f t="shared" si="7"/>
        <v>155</v>
      </c>
    </row>
    <row r="227" spans="1:25" x14ac:dyDescent="0.25">
      <c r="A227" s="2" t="s">
        <v>21</v>
      </c>
      <c r="B227" s="2" t="s">
        <v>86</v>
      </c>
      <c r="C227" s="2" t="s">
        <v>87</v>
      </c>
      <c r="D227" s="2" t="s">
        <v>88</v>
      </c>
      <c r="E227" s="2" t="s">
        <v>318</v>
      </c>
      <c r="F227" s="2" t="s">
        <v>319</v>
      </c>
      <c r="G227" s="2" t="s">
        <v>98</v>
      </c>
      <c r="H227" s="2" t="s">
        <v>1338</v>
      </c>
      <c r="I227" s="2" t="s">
        <v>1439</v>
      </c>
      <c r="J227" s="2" t="s">
        <v>1440</v>
      </c>
      <c r="K227" s="2" t="s">
        <v>31</v>
      </c>
      <c r="L227" s="2" t="s">
        <v>1441</v>
      </c>
      <c r="M227" s="2" t="s">
        <v>33</v>
      </c>
      <c r="N227" s="2" t="s">
        <v>1318</v>
      </c>
      <c r="O227" s="2" t="s">
        <v>1319</v>
      </c>
      <c r="P227" s="3">
        <v>166.4</v>
      </c>
      <c r="Q227" s="2">
        <v>463533330</v>
      </c>
      <c r="R227" s="2" t="s">
        <v>1442</v>
      </c>
      <c r="S227" s="4"/>
      <c r="T227" s="4"/>
      <c r="U227" s="2" t="s">
        <v>38</v>
      </c>
      <c r="V227" s="2" t="s">
        <v>1443</v>
      </c>
      <c r="W227" s="5">
        <f>IF(I227="","",DATE(2000+MID(I227,8,2),MATCH(MID(I227,4,3),{"Jan","Feb","Mar","Apr","May","Jun","Jul","Aug","Sep","Oct","Nov","Dec"},0),1))</f>
        <v>45962</v>
      </c>
      <c r="X227" s="2">
        <f t="shared" si="6"/>
        <v>75</v>
      </c>
      <c r="Y227" s="2">
        <f t="shared" si="7"/>
        <v>273</v>
      </c>
    </row>
    <row r="228" spans="1:25" x14ac:dyDescent="0.25">
      <c r="A228" s="2" t="s">
        <v>21</v>
      </c>
      <c r="B228" s="2" t="s">
        <v>712</v>
      </c>
      <c r="C228" s="2" t="s">
        <v>713</v>
      </c>
      <c r="D228" s="2" t="s">
        <v>111</v>
      </c>
      <c r="E228" s="2" t="s">
        <v>714</v>
      </c>
      <c r="F228" s="2" t="s">
        <v>715</v>
      </c>
      <c r="G228" s="2" t="s">
        <v>65</v>
      </c>
      <c r="H228" s="2" t="s">
        <v>716</v>
      </c>
      <c r="I228" s="2" t="s">
        <v>1444</v>
      </c>
      <c r="J228" s="2" t="s">
        <v>325</v>
      </c>
      <c r="K228" s="2" t="s">
        <v>31</v>
      </c>
      <c r="L228" s="2" t="s">
        <v>195</v>
      </c>
      <c r="M228" s="2" t="s">
        <v>33</v>
      </c>
      <c r="N228" s="2" t="s">
        <v>1318</v>
      </c>
      <c r="O228" s="2" t="s">
        <v>1319</v>
      </c>
      <c r="P228" s="3">
        <v>166.4</v>
      </c>
      <c r="Q228" s="2">
        <v>461434962</v>
      </c>
      <c r="R228" s="2" t="s">
        <v>1445</v>
      </c>
      <c r="S228" s="4"/>
      <c r="T228" s="4"/>
      <c r="U228" s="2" t="s">
        <v>38</v>
      </c>
      <c r="V228" s="2" t="s">
        <v>1446</v>
      </c>
      <c r="W228" s="5">
        <f>IF(I228="","",DATE(2000+MID(I228,8,2),MATCH(MID(I228,4,3),{"Jan","Feb","Mar","Apr","May","Jun","Jul","Aug","Sep","Oct","Nov","Dec"},0),1))</f>
        <v>45962</v>
      </c>
      <c r="X228" s="2">
        <f t="shared" si="6"/>
        <v>200</v>
      </c>
      <c r="Y228" s="2">
        <f t="shared" si="7"/>
        <v>545</v>
      </c>
    </row>
    <row r="229" spans="1:25" x14ac:dyDescent="0.25">
      <c r="A229" s="2" t="s">
        <v>21</v>
      </c>
      <c r="B229" s="2" t="s">
        <v>72</v>
      </c>
      <c r="C229" s="2" t="s">
        <v>1321</v>
      </c>
      <c r="D229" s="2" t="s">
        <v>65</v>
      </c>
      <c r="E229" s="2" t="s">
        <v>1470</v>
      </c>
      <c r="F229" s="2" t="s">
        <v>1471</v>
      </c>
      <c r="G229" s="2" t="s">
        <v>65</v>
      </c>
      <c r="H229" s="2" t="s">
        <v>1472</v>
      </c>
      <c r="I229" s="2" t="s">
        <v>504</v>
      </c>
      <c r="J229" s="2" t="s">
        <v>511</v>
      </c>
      <c r="K229" s="2" t="s">
        <v>31</v>
      </c>
      <c r="L229" s="2" t="s">
        <v>1370</v>
      </c>
      <c r="M229" s="2" t="s">
        <v>33</v>
      </c>
      <c r="N229" s="2" t="s">
        <v>1318</v>
      </c>
      <c r="O229" s="2" t="s">
        <v>1319</v>
      </c>
      <c r="P229" s="3">
        <v>108.94</v>
      </c>
      <c r="R229" s="2" t="s">
        <v>1473</v>
      </c>
      <c r="S229" s="4"/>
      <c r="T229" s="4"/>
      <c r="U229" s="2" t="s">
        <v>71</v>
      </c>
      <c r="W229" s="5">
        <f>IF(I229="","",DATE(2000+MID(I229,8,2),MATCH(MID(I229,4,3),{"Jan","Feb","Mar","Apr","May","Jun","Jul","Aug","Sep","Oct","Nov","Dec"},0),1))</f>
        <v>45992</v>
      </c>
      <c r="X229" s="2">
        <f t="shared" si="6"/>
        <v>25</v>
      </c>
      <c r="Y229" s="2">
        <f t="shared" si="7"/>
        <v>21</v>
      </c>
    </row>
    <row r="230" spans="1:25" x14ac:dyDescent="0.25">
      <c r="A230" s="2" t="s">
        <v>21</v>
      </c>
      <c r="B230" s="2" t="s">
        <v>1513</v>
      </c>
      <c r="C230" s="2" t="s">
        <v>1514</v>
      </c>
      <c r="D230" s="2" t="s">
        <v>111</v>
      </c>
      <c r="E230" s="2" t="s">
        <v>86</v>
      </c>
      <c r="F230" s="2" t="s">
        <v>87</v>
      </c>
      <c r="G230" s="2" t="s">
        <v>88</v>
      </c>
      <c r="H230" s="2" t="s">
        <v>1515</v>
      </c>
      <c r="I230" s="2" t="s">
        <v>1516</v>
      </c>
      <c r="J230" s="2" t="s">
        <v>1517</v>
      </c>
      <c r="K230" s="2" t="s">
        <v>31</v>
      </c>
      <c r="L230" s="2" t="s">
        <v>1518</v>
      </c>
      <c r="M230" s="2" t="s">
        <v>33</v>
      </c>
      <c r="N230" s="2" t="s">
        <v>1318</v>
      </c>
      <c r="O230" s="2" t="s">
        <v>1319</v>
      </c>
      <c r="P230" s="3">
        <v>165.2</v>
      </c>
      <c r="Q230" s="2">
        <v>452116058</v>
      </c>
      <c r="R230" s="2" t="s">
        <v>1519</v>
      </c>
      <c r="S230" s="4"/>
      <c r="T230" s="4"/>
      <c r="U230" s="2" t="s">
        <v>71</v>
      </c>
      <c r="V230" s="2" t="s">
        <v>1520</v>
      </c>
      <c r="W230" s="5">
        <f>IF(I230="","",DATE(2000+MID(I230,8,2),MATCH(MID(I230,4,3),{"Jan","Feb","Mar","Apr","May","Jun","Jul","Aug","Sep","Oct","Nov","Dec"},0),1))</f>
        <v>46023</v>
      </c>
      <c r="X230" s="2">
        <f t="shared" si="6"/>
        <v>1944</v>
      </c>
      <c r="Y230" s="2">
        <f t="shared" si="7"/>
        <v>293</v>
      </c>
    </row>
    <row r="231" spans="1:25" x14ac:dyDescent="0.25">
      <c r="A231" s="2" t="s">
        <v>21</v>
      </c>
      <c r="B231" s="2" t="s">
        <v>792</v>
      </c>
      <c r="C231" s="2" t="s">
        <v>793</v>
      </c>
      <c r="D231" s="2" t="s">
        <v>65</v>
      </c>
      <c r="E231" s="2" t="s">
        <v>423</v>
      </c>
      <c r="F231" s="2" t="s">
        <v>424</v>
      </c>
      <c r="G231" s="2" t="s">
        <v>65</v>
      </c>
      <c r="H231" s="2" t="s">
        <v>1211</v>
      </c>
      <c r="I231" s="2" t="s">
        <v>1144</v>
      </c>
      <c r="J231" s="2" t="s">
        <v>1572</v>
      </c>
      <c r="K231" s="2" t="s">
        <v>31</v>
      </c>
      <c r="L231" s="2" t="s">
        <v>1573</v>
      </c>
      <c r="M231" s="2" t="s">
        <v>33</v>
      </c>
      <c r="N231" s="2" t="s">
        <v>1318</v>
      </c>
      <c r="O231" s="2" t="s">
        <v>1319</v>
      </c>
      <c r="P231" s="3">
        <v>112.61</v>
      </c>
      <c r="Q231" s="2">
        <v>477964591</v>
      </c>
      <c r="R231" s="2" t="s">
        <v>1574</v>
      </c>
      <c r="S231" s="4"/>
      <c r="T231" s="4"/>
      <c r="U231" s="2" t="s">
        <v>71</v>
      </c>
      <c r="V231" s="2" t="s">
        <v>1575</v>
      </c>
      <c r="W231" s="5">
        <f>IF(I231="","",DATE(2000+MID(I231,8,2),MATCH(MID(I231,4,3),{"Jan","Feb","Mar","Apr","May","Jun","Jul","Aug","Sep","Oct","Nov","Dec"},0),1))</f>
        <v>46082</v>
      </c>
      <c r="X231" s="2">
        <f t="shared" si="6"/>
        <v>104.4</v>
      </c>
      <c r="Y231" s="2">
        <f t="shared" si="7"/>
        <v>425</v>
      </c>
    </row>
  </sheetData>
  <sortState xmlns:xlrd2="http://schemas.microsoft.com/office/spreadsheetml/2017/richdata2" ref="A2:V231">
    <sortCondition ref="S2:S2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D5F0-2D43-485B-BC38-1942636CC2BE}">
  <dimension ref="A1:R44"/>
  <sheetViews>
    <sheetView workbookViewId="0">
      <selection activeCell="N28" sqref="N28"/>
    </sheetView>
  </sheetViews>
  <sheetFormatPr defaultRowHeight="15" outlineLevelCol="2" x14ac:dyDescent="0.25"/>
  <cols>
    <col min="1" max="1" width="40.85546875" style="1" bestFit="1" customWidth="1"/>
    <col min="2" max="2" width="15.85546875" style="1" bestFit="1" customWidth="1"/>
    <col min="3" max="3" width="13.42578125" style="1" bestFit="1" customWidth="1"/>
    <col min="4" max="5" width="18.5703125" style="1" bestFit="1" customWidth="1"/>
    <col min="6" max="6" width="20.7109375" style="1" bestFit="1" customWidth="1"/>
    <col min="7" max="7" width="18.28515625" style="1" bestFit="1" customWidth="1"/>
    <col min="8" max="8" width="22.42578125" style="1" bestFit="1" customWidth="1"/>
    <col min="9" max="9" width="14.5703125" style="1" bestFit="1" customWidth="1"/>
    <col min="10" max="10" width="16.7109375" style="1" bestFit="1" customWidth="1"/>
    <col min="11" max="11" width="9.140625" style="1"/>
    <col min="12" max="12" width="6.140625" style="1" bestFit="1" customWidth="1" outlineLevel="2"/>
    <col min="13" max="13" width="9" style="1" bestFit="1" customWidth="1" outlineLevel="2"/>
    <col min="14" max="14" width="14.140625" style="1" bestFit="1" customWidth="1" outlineLevel="2"/>
    <col min="15" max="15" width="15.7109375" style="1" bestFit="1" customWidth="1" outlineLevel="2"/>
    <col min="16" max="16" width="9.140625" style="1" outlineLevel="2"/>
    <col min="17" max="17" width="6.140625" style="1" bestFit="1" customWidth="1" outlineLevel="2"/>
    <col min="18" max="18" width="14.140625" style="1" bestFit="1" customWidth="1" outlineLevel="2"/>
    <col min="19" max="16384" width="9.140625" style="1"/>
  </cols>
  <sheetData>
    <row r="1" spans="1:18" s="8" customFormat="1" ht="24" x14ac:dyDescent="0.4">
      <c r="A1" s="7" t="s">
        <v>1580</v>
      </c>
      <c r="B1" s="7"/>
      <c r="C1" s="7"/>
      <c r="D1" s="7"/>
      <c r="E1" s="7"/>
      <c r="F1" s="7"/>
      <c r="G1" s="7"/>
      <c r="H1" s="7"/>
    </row>
    <row r="2" spans="1:18" s="8" customFormat="1" x14ac:dyDescent="0.25">
      <c r="A2" s="9" t="s">
        <v>1581</v>
      </c>
      <c r="B2" s="9"/>
      <c r="C2" s="9"/>
      <c r="D2" s="9"/>
      <c r="E2" s="9"/>
      <c r="F2" s="9"/>
      <c r="G2" s="9"/>
      <c r="H2" s="9"/>
    </row>
    <row r="3" spans="1:18" s="8" customFormat="1" x14ac:dyDescent="0.25"/>
    <row r="4" spans="1:18" ht="18.75" x14ac:dyDescent="0.3">
      <c r="A4" s="10" t="s">
        <v>1582</v>
      </c>
    </row>
    <row r="5" spans="1:18" x14ac:dyDescent="0.25">
      <c r="A5" s="6" t="s">
        <v>1583</v>
      </c>
      <c r="B5" s="6" t="s">
        <v>1584</v>
      </c>
      <c r="C5" s="6" t="s">
        <v>1585</v>
      </c>
      <c r="D5" s="6" t="s">
        <v>1586</v>
      </c>
      <c r="E5" s="6" t="s">
        <v>1587</v>
      </c>
      <c r="F5" s="6" t="s">
        <v>1588</v>
      </c>
      <c r="G5" s="6" t="s">
        <v>1589</v>
      </c>
      <c r="H5" s="6" t="s">
        <v>1590</v>
      </c>
      <c r="I5" s="6" t="s">
        <v>1591</v>
      </c>
      <c r="J5" s="6" t="s">
        <v>1592</v>
      </c>
      <c r="L5" s="11" t="s">
        <v>1583</v>
      </c>
      <c r="M5" s="11" t="s">
        <v>1585</v>
      </c>
      <c r="N5" s="11" t="s">
        <v>1586</v>
      </c>
      <c r="O5" s="11" t="s">
        <v>1588</v>
      </c>
      <c r="Q5" s="11" t="s">
        <v>1583</v>
      </c>
      <c r="R5" s="11" t="s">
        <v>1586</v>
      </c>
    </row>
    <row r="6" spans="1:18" x14ac:dyDescent="0.25">
      <c r="A6" s="12" t="s">
        <v>1608</v>
      </c>
      <c r="B6" s="13">
        <f>COUNTIF('SCI_Report#BL68LX#jwade#25-MAR-'!W:W,DATE(2025,10,1))</f>
        <v>45</v>
      </c>
      <c r="C6" s="14">
        <f>SUMIF('SCI_Report#BL68LX#jwade#25-MAR-'!W:W,DATE(2025,10,1),'SCI_Report#BL68LX#jwade#25-MAR-'!P:P)</f>
        <v>11138.719999999998</v>
      </c>
      <c r="D6" s="15">
        <f>IF(B6=0,"-",C6/B6)</f>
        <v>247.52711111111105</v>
      </c>
      <c r="E6" s="13">
        <f>SUMIF('SCI_Report#BL68LX#jwade#25-MAR-'!W:W,DATE(2025,10,1),'SCI_Report#BL68LX#jwade#25-MAR-'!X:X)</f>
        <v>92475.37</v>
      </c>
      <c r="F6" s="13">
        <f>IF(B6=0,"-",E6/B6)</f>
        <v>2055.0082222222222</v>
      </c>
      <c r="G6" s="13">
        <f>SUMIF('SCI_Report#BL68LX#jwade#25-MAR-'!W:W,DATE(2025,10,1),'SCI_Report#BL68LX#jwade#25-MAR-'!Y:Y)</f>
        <v>19198</v>
      </c>
      <c r="H6" s="13">
        <f>IF(B6=0,"-",G6/B6)</f>
        <v>426.62222222222221</v>
      </c>
      <c r="I6" s="15">
        <f>IF(E6=0,"-",C6/E6)</f>
        <v>0.1204506670262579</v>
      </c>
      <c r="J6" s="15">
        <f>IF(G6=0,"-",C6/G6)</f>
        <v>0.58020210438587339</v>
      </c>
      <c r="L6" s="16">
        <v>46320</v>
      </c>
      <c r="M6" s="17">
        <f>C6</f>
        <v>11138.719999999998</v>
      </c>
      <c r="N6" s="18">
        <f>D6</f>
        <v>247.52711111111105</v>
      </c>
      <c r="O6" s="19">
        <f>F6</f>
        <v>2055.0082222222222</v>
      </c>
      <c r="Q6" s="16">
        <v>46320</v>
      </c>
      <c r="R6" s="18">
        <f>D6</f>
        <v>247.52711111111105</v>
      </c>
    </row>
    <row r="7" spans="1:18" x14ac:dyDescent="0.25">
      <c r="A7" s="12" t="s">
        <v>1609</v>
      </c>
      <c r="B7" s="13">
        <f>COUNTIF('SCI_Report#BL68LX#jwade#25-MAR-'!W:W,DATE(2025,11,1))</f>
        <v>35</v>
      </c>
      <c r="C7" s="14">
        <f>SUMIF('SCI_Report#BL68LX#jwade#25-MAR-'!W:W,DATE(2025,11,1),'SCI_Report#BL68LX#jwade#25-MAR-'!P:P)</f>
        <v>13021.51</v>
      </c>
      <c r="D7" s="15">
        <f>IF(B7=0,"-",C7/B7)</f>
        <v>372.04314285714287</v>
      </c>
      <c r="E7" s="13">
        <f>SUMIF('SCI_Report#BL68LX#jwade#25-MAR-'!W:W,DATE(2025,11,1),'SCI_Report#BL68LX#jwade#25-MAR-'!X:X)</f>
        <v>87192.17</v>
      </c>
      <c r="F7" s="13">
        <f>IF(B7=0,"-",E7/B7)</f>
        <v>2491.2048571428572</v>
      </c>
      <c r="G7" s="13">
        <f>SUMIF('SCI_Report#BL68LX#jwade#25-MAR-'!W:W,DATE(2025,11,1),'SCI_Report#BL68LX#jwade#25-MAR-'!Y:Y)</f>
        <v>16181</v>
      </c>
      <c r="H7" s="13">
        <f>IF(B7=0,"-",G7/B7)</f>
        <v>462.31428571428569</v>
      </c>
      <c r="I7" s="15">
        <f>IF(E7=0,"-",C7/E7)</f>
        <v>0.1493426531304359</v>
      </c>
      <c r="J7" s="15">
        <f>IF(G7=0,"-",C7/G7)</f>
        <v>0.80474074531858353</v>
      </c>
      <c r="L7" s="16">
        <v>46351</v>
      </c>
      <c r="M7" s="17">
        <f t="shared" ref="M7:M11" si="0">C7</f>
        <v>13021.51</v>
      </c>
      <c r="N7" s="18">
        <f t="shared" ref="N7:N11" si="1">D7</f>
        <v>372.04314285714287</v>
      </c>
      <c r="O7" s="19">
        <f t="shared" ref="O7:O11" si="2">F7</f>
        <v>2491.2048571428572</v>
      </c>
      <c r="Q7" s="16">
        <v>46351</v>
      </c>
      <c r="R7" s="18">
        <f t="shared" ref="R7:R11" si="3">D7</f>
        <v>372.04314285714287</v>
      </c>
    </row>
    <row r="8" spans="1:18" x14ac:dyDescent="0.25">
      <c r="A8" s="12" t="s">
        <v>1610</v>
      </c>
      <c r="B8" s="13">
        <f>COUNTIF('SCI_Report#BL68LX#jwade#25-MAR-'!W:W,DATE(2025,12,1))</f>
        <v>30</v>
      </c>
      <c r="C8" s="14">
        <f>SUMIF('SCI_Report#BL68LX#jwade#25-MAR-'!W:W,DATE(2025,12,1),'SCI_Report#BL68LX#jwade#25-MAR-'!P:P)</f>
        <v>6542.96</v>
      </c>
      <c r="D8" s="15">
        <f>IF(B8=0,"-",C8/B8)</f>
        <v>218.09866666666667</v>
      </c>
      <c r="E8" s="13">
        <f>SUMIF('SCI_Report#BL68LX#jwade#25-MAR-'!W:W,DATE(2025,12,1),'SCI_Report#BL68LX#jwade#25-MAR-'!X:X)</f>
        <v>35541.620000000003</v>
      </c>
      <c r="F8" s="13">
        <f>IF(B8=0,"-",E8/B8)</f>
        <v>1184.7206666666668</v>
      </c>
      <c r="G8" s="13">
        <f>SUMIF('SCI_Report#BL68LX#jwade#25-MAR-'!W:W,DATE(2025,12,1),'SCI_Report#BL68LX#jwade#25-MAR-'!Y:Y)</f>
        <v>9352</v>
      </c>
      <c r="H8" s="13">
        <f>IF(B8=0,"-",G8/B8)</f>
        <v>311.73333333333335</v>
      </c>
      <c r="I8" s="15">
        <f>IF(E8=0,"-",C8/E8)</f>
        <v>0.18409290291213512</v>
      </c>
      <c r="J8" s="15">
        <f>IF(G8=0,"-",C8/G8)</f>
        <v>0.69963216424294272</v>
      </c>
      <c r="L8" s="16">
        <v>46381</v>
      </c>
      <c r="M8" s="17">
        <f t="shared" si="0"/>
        <v>6542.96</v>
      </c>
      <c r="N8" s="18">
        <f t="shared" si="1"/>
        <v>218.09866666666667</v>
      </c>
      <c r="O8" s="19">
        <f t="shared" si="2"/>
        <v>1184.7206666666668</v>
      </c>
      <c r="Q8" s="16">
        <v>46381</v>
      </c>
      <c r="R8" s="18">
        <f t="shared" si="3"/>
        <v>218.09866666666667</v>
      </c>
    </row>
    <row r="9" spans="1:18" x14ac:dyDescent="0.25">
      <c r="A9" s="12" t="s">
        <v>1611</v>
      </c>
      <c r="B9" s="13">
        <f>COUNTIF('SCI_Report#BL68LX#jwade#25-MAR-'!W:W,DATE(2026,1,1))</f>
        <v>39</v>
      </c>
      <c r="C9" s="14">
        <f>SUMIF('SCI_Report#BL68LX#jwade#25-MAR-'!W:W,DATE(2026,1,1),'SCI_Report#BL68LX#jwade#25-MAR-'!P:P)</f>
        <v>13432.450000000003</v>
      </c>
      <c r="D9" s="15">
        <f>IF(B9=0,"-",C9/B9)</f>
        <v>344.42179487179493</v>
      </c>
      <c r="E9" s="13">
        <f>SUMIF('SCI_Report#BL68LX#jwade#25-MAR-'!W:W,DATE(2026,1,1),'SCI_Report#BL68LX#jwade#25-MAR-'!X:X)</f>
        <v>90921.37</v>
      </c>
      <c r="F9" s="13">
        <f>IF(B9=0,"-",E9/B9)</f>
        <v>2331.3171794871791</v>
      </c>
      <c r="G9" s="13">
        <f>SUMIF('SCI_Report#BL68LX#jwade#25-MAR-'!W:W,DATE(2026,1,1),'SCI_Report#BL68LX#jwade#25-MAR-'!Y:Y)</f>
        <v>22803</v>
      </c>
      <c r="H9" s="13">
        <f>IF(B9=0,"-",G9/B9)</f>
        <v>584.69230769230774</v>
      </c>
      <c r="I9" s="15">
        <f>IF(E9=0,"-",C9/E9)</f>
        <v>0.14773699516406322</v>
      </c>
      <c r="J9" s="15">
        <f>IF(G9=0,"-",C9/G9)</f>
        <v>0.58906503530237264</v>
      </c>
      <c r="L9" s="16">
        <v>46048</v>
      </c>
      <c r="M9" s="17">
        <f t="shared" si="0"/>
        <v>13432.450000000003</v>
      </c>
      <c r="N9" s="18">
        <f t="shared" si="1"/>
        <v>344.42179487179493</v>
      </c>
      <c r="O9" s="19">
        <f t="shared" si="2"/>
        <v>2331.3171794871791</v>
      </c>
      <c r="Q9" s="16">
        <v>46048</v>
      </c>
      <c r="R9" s="18">
        <f t="shared" si="3"/>
        <v>344.42179487179493</v>
      </c>
    </row>
    <row r="10" spans="1:18" x14ac:dyDescent="0.25">
      <c r="A10" s="12" t="s">
        <v>1612</v>
      </c>
      <c r="B10" s="13">
        <f>COUNTIF('SCI_Report#BL68LX#jwade#25-MAR-'!W:W,DATE(2026,2,1))</f>
        <v>37</v>
      </c>
      <c r="C10" s="14">
        <f>SUMIF('SCI_Report#BL68LX#jwade#25-MAR-'!W:W,DATE(2026,2,1),'SCI_Report#BL68LX#jwade#25-MAR-'!P:P)</f>
        <v>12531.78</v>
      </c>
      <c r="D10" s="15">
        <f>IF(B10=0,"-",C10/B10)</f>
        <v>338.69675675675677</v>
      </c>
      <c r="E10" s="13">
        <f>SUMIF('SCI_Report#BL68LX#jwade#25-MAR-'!W:W,DATE(2026,2,1),'SCI_Report#BL68LX#jwade#25-MAR-'!X:X)</f>
        <v>54113.609999999986</v>
      </c>
      <c r="F10" s="13">
        <f>IF(B10=0,"-",E10/B10)</f>
        <v>1462.5299999999995</v>
      </c>
      <c r="G10" s="13">
        <f>SUMIF('SCI_Report#BL68LX#jwade#25-MAR-'!W:W,DATE(2026,2,1),'SCI_Report#BL68LX#jwade#25-MAR-'!Y:Y)</f>
        <v>24433</v>
      </c>
      <c r="H10" s="13">
        <f>IF(B10=0,"-",G10/B10)</f>
        <v>660.35135135135135</v>
      </c>
      <c r="I10" s="15">
        <f>IF(E10=0,"-",C10/E10)</f>
        <v>0.23158277557161691</v>
      </c>
      <c r="J10" s="15">
        <f>IF(G10=0,"-",C10/G10)</f>
        <v>0.51290385953423656</v>
      </c>
      <c r="L10" s="16">
        <v>46079</v>
      </c>
      <c r="M10" s="17">
        <f t="shared" si="0"/>
        <v>12531.78</v>
      </c>
      <c r="N10" s="18">
        <f t="shared" si="1"/>
        <v>338.69675675675677</v>
      </c>
      <c r="O10" s="19">
        <f t="shared" si="2"/>
        <v>1462.5299999999995</v>
      </c>
      <c r="Q10" s="16">
        <v>46079</v>
      </c>
      <c r="R10" s="18">
        <f t="shared" si="3"/>
        <v>338.69675675675677</v>
      </c>
    </row>
    <row r="11" spans="1:18" x14ac:dyDescent="0.25">
      <c r="A11" s="12" t="s">
        <v>1613</v>
      </c>
      <c r="B11" s="13">
        <f>COUNTIF('SCI_Report#BL68LX#jwade#25-MAR-'!W:W,DATE(2026,3,1))</f>
        <v>44</v>
      </c>
      <c r="C11" s="14">
        <f>SUMIF('SCI_Report#BL68LX#jwade#25-MAR-'!W:W,DATE(2026,3,1),'SCI_Report#BL68LX#jwade#25-MAR-'!P:P)</f>
        <v>17742.689999999999</v>
      </c>
      <c r="D11" s="15">
        <f>IF(B11=0,"-",C11/B11)</f>
        <v>403.2429545454545</v>
      </c>
      <c r="E11" s="13">
        <f>SUMIF('SCI_Report#BL68LX#jwade#25-MAR-'!W:W,DATE(2026,3,1),'SCI_Report#BL68LX#jwade#25-MAR-'!X:X)</f>
        <v>86906.869999999981</v>
      </c>
      <c r="F11" s="13">
        <f>IF(B11=0,"-",E11/B11)</f>
        <v>1975.1561363636358</v>
      </c>
      <c r="G11" s="13">
        <f>SUMIF('SCI_Report#BL68LX#jwade#25-MAR-'!W:W,DATE(2026,3,1),'SCI_Report#BL68LX#jwade#25-MAR-'!Y:Y)</f>
        <v>27261</v>
      </c>
      <c r="H11" s="13">
        <f>IF(B11=0,"-",G11/B11)</f>
        <v>619.56818181818187</v>
      </c>
      <c r="I11" s="15">
        <f>IF(E11=0,"-",C11/E11)</f>
        <v>0.20415750791623266</v>
      </c>
      <c r="J11" s="15">
        <f>IF(G11=0,"-",C11/G11)</f>
        <v>0.65084516342027066</v>
      </c>
      <c r="L11" s="16">
        <v>46107</v>
      </c>
      <c r="M11" s="17">
        <f t="shared" si="0"/>
        <v>17742.689999999999</v>
      </c>
      <c r="N11" s="18">
        <f t="shared" si="1"/>
        <v>403.2429545454545</v>
      </c>
      <c r="O11" s="19">
        <f t="shared" si="2"/>
        <v>1975.1561363636358</v>
      </c>
      <c r="Q11" s="16">
        <v>46107</v>
      </c>
      <c r="R11" s="18">
        <f t="shared" si="3"/>
        <v>403.2429545454545</v>
      </c>
    </row>
    <row r="12" spans="1:18" x14ac:dyDescent="0.25">
      <c r="A12" s="20" t="s">
        <v>1593</v>
      </c>
      <c r="B12" s="21">
        <f>SUM(B6:B11)</f>
        <v>230</v>
      </c>
      <c r="C12" s="22">
        <f>SUM(C6:C11)</f>
        <v>74410.11</v>
      </c>
      <c r="D12" s="23">
        <f>IF(B12=0,"-",C12/B12)</f>
        <v>323.52221739130437</v>
      </c>
      <c r="E12" s="21">
        <f>SUM(E6:E11)</f>
        <v>447151.00999999995</v>
      </c>
      <c r="F12" s="21">
        <f>IF(B12=0,"-",E12/B12)</f>
        <v>1944.1348260869563</v>
      </c>
      <c r="G12" s="21">
        <f>SUM(G6:G11)</f>
        <v>119228</v>
      </c>
      <c r="H12" s="21">
        <f>IF(B12=0,"-",G12/B12)</f>
        <v>518.38260869565215</v>
      </c>
      <c r="I12" s="23">
        <f>IF(E12=0,"-",C12/E12)</f>
        <v>0.16640935240199953</v>
      </c>
      <c r="J12" s="23">
        <f>IF(G12=0,"-",C12/G12)</f>
        <v>0.6240992887576744</v>
      </c>
      <c r="Q12" s="11"/>
      <c r="R12" s="11"/>
    </row>
    <row r="13" spans="1:18" x14ac:dyDescent="0.25">
      <c r="C13" s="33"/>
      <c r="D13" s="33"/>
      <c r="Q13" s="11" t="s">
        <v>1583</v>
      </c>
      <c r="R13" s="11" t="s">
        <v>1607</v>
      </c>
    </row>
    <row r="14" spans="1:18" ht="18.75" x14ac:dyDescent="0.3">
      <c r="A14" s="10" t="s">
        <v>1594</v>
      </c>
      <c r="Q14" s="16">
        <v>46320</v>
      </c>
      <c r="R14" s="19">
        <f>F6</f>
        <v>2055.0082222222222</v>
      </c>
    </row>
    <row r="15" spans="1:18" x14ac:dyDescent="0.25">
      <c r="A15" s="6" t="s">
        <v>1583</v>
      </c>
      <c r="B15" s="6" t="s">
        <v>1595</v>
      </c>
      <c r="C15" s="6" t="s">
        <v>1596</v>
      </c>
      <c r="D15" s="6" t="s">
        <v>1597</v>
      </c>
      <c r="E15" s="6" t="s">
        <v>1598</v>
      </c>
      <c r="F15" s="6" t="s">
        <v>1599</v>
      </c>
      <c r="G15" s="6" t="s">
        <v>1600</v>
      </c>
      <c r="Q15" s="16">
        <v>46351</v>
      </c>
      <c r="R15" s="19">
        <f t="shared" ref="R15:R19" si="4">F7</f>
        <v>2491.2048571428572</v>
      </c>
    </row>
    <row r="16" spans="1:18" x14ac:dyDescent="0.25">
      <c r="A16" s="12" t="s">
        <v>1609</v>
      </c>
      <c r="B16" s="13">
        <f>B7-B6</f>
        <v>-10</v>
      </c>
      <c r="C16" s="24">
        <f>IF(B6=0,"-",(B7-B6)/B6)</f>
        <v>-0.22222222222222221</v>
      </c>
      <c r="D16" s="14">
        <f>C7-C6</f>
        <v>1882.7900000000027</v>
      </c>
      <c r="E16" s="24">
        <f>IF(C6=0,"-",(C7-C6)/C6)</f>
        <v>0.16903109154373241</v>
      </c>
      <c r="F16" s="24">
        <f>IF(D6=0,"-",(D7-D6)/D6)</f>
        <v>0.50303997484194174</v>
      </c>
      <c r="G16" s="24">
        <f>IF(E6=0,"-",(E7-E6)/E6)</f>
        <v>-5.713088793264625E-2</v>
      </c>
      <c r="Q16" s="16">
        <v>46381</v>
      </c>
      <c r="R16" s="19">
        <f t="shared" si="4"/>
        <v>1184.7206666666668</v>
      </c>
    </row>
    <row r="17" spans="1:18" x14ac:dyDescent="0.25">
      <c r="A17" s="12" t="s">
        <v>1610</v>
      </c>
      <c r="B17" s="13">
        <f>B8-B7</f>
        <v>-5</v>
      </c>
      <c r="C17" s="24">
        <f>IF(B7=0,"-",(B8-B7)/B7)</f>
        <v>-0.14285714285714285</v>
      </c>
      <c r="D17" s="14">
        <f>C8-C7</f>
        <v>-6478.55</v>
      </c>
      <c r="E17" s="24">
        <f>IF(C7=0,"-",(C8-C7)/C7)</f>
        <v>-0.49752678452806165</v>
      </c>
      <c r="F17" s="24">
        <f>IF(D7=0,"-",(D8-D7)/D7)</f>
        <v>-0.41378124861607191</v>
      </c>
      <c r="G17" s="24">
        <f>IF(E7=0,"-",(E8-E7)/E7)</f>
        <v>-0.59237601266260487</v>
      </c>
      <c r="Q17" s="16">
        <v>46048</v>
      </c>
      <c r="R17" s="19">
        <f t="shared" si="4"/>
        <v>2331.3171794871791</v>
      </c>
    </row>
    <row r="18" spans="1:18" x14ac:dyDescent="0.25">
      <c r="A18" s="12" t="s">
        <v>1611</v>
      </c>
      <c r="B18" s="13">
        <f>B9-B8</f>
        <v>9</v>
      </c>
      <c r="C18" s="24">
        <f>IF(B8=0,"-",(B9-B8)/B8)</f>
        <v>0.3</v>
      </c>
      <c r="D18" s="14">
        <f>C9-C8</f>
        <v>6889.4900000000025</v>
      </c>
      <c r="E18" s="24">
        <f>IF(C8=0,"-",(C9-C8)/C8)</f>
        <v>1.052962267842078</v>
      </c>
      <c r="F18" s="24">
        <f>IF(D8=0,"-",(D9-D8)/D8)</f>
        <v>0.57920174449390605</v>
      </c>
      <c r="G18" s="24">
        <f>IF(E8=0,"-",(E9-E8)/E8)</f>
        <v>1.5581661725042355</v>
      </c>
      <c r="Q18" s="16">
        <v>46079</v>
      </c>
      <c r="R18" s="19">
        <f t="shared" si="4"/>
        <v>1462.5299999999995</v>
      </c>
    </row>
    <row r="19" spans="1:18" x14ac:dyDescent="0.25">
      <c r="A19" s="12" t="s">
        <v>1612</v>
      </c>
      <c r="B19" s="13">
        <f>B10-B9</f>
        <v>-2</v>
      </c>
      <c r="C19" s="24">
        <f>IF(B9=0,"-",(B10-B9)/B9)</f>
        <v>-5.128205128205128E-2</v>
      </c>
      <c r="D19" s="14">
        <f>C10-C9</f>
        <v>-900.67000000000189</v>
      </c>
      <c r="E19" s="24">
        <f>IF(C9=0,"-",(C10-C9)/C9)</f>
        <v>-6.7051803654582867E-2</v>
      </c>
      <c r="F19" s="24">
        <f>IF(D9=0,"-",(D10-D9)/D9)</f>
        <v>-1.6622171419695454E-2</v>
      </c>
      <c r="G19" s="24">
        <f>IF(E9=0,"-",(E10-E9)/E9)</f>
        <v>-0.40483067952011736</v>
      </c>
      <c r="Q19" s="16">
        <v>46107</v>
      </c>
      <c r="R19" s="19">
        <f t="shared" si="4"/>
        <v>1975.1561363636358</v>
      </c>
    </row>
    <row r="20" spans="1:18" x14ac:dyDescent="0.25">
      <c r="A20" s="12" t="s">
        <v>1613</v>
      </c>
      <c r="B20" s="13">
        <f>B11-B10</f>
        <v>7</v>
      </c>
      <c r="C20" s="24">
        <f>IF(B10=0,"-",(B11-B10)/B10)</f>
        <v>0.1891891891891892</v>
      </c>
      <c r="D20" s="14">
        <f>C11-C10</f>
        <v>5210.909999999998</v>
      </c>
      <c r="E20" s="24">
        <f>IF(C10=0,"-",(C11-C10)/C10)</f>
        <v>0.41581563034141977</v>
      </c>
      <c r="F20" s="24">
        <f>IF(D10=0,"-",(D11-D10)/D10)</f>
        <v>0.19057223460528477</v>
      </c>
      <c r="G20" s="24">
        <f>IF(E10=0,"-",(E11-E10)/E10)</f>
        <v>0.60600761989451457</v>
      </c>
    </row>
    <row r="22" spans="1:18" ht="18.75" x14ac:dyDescent="0.3">
      <c r="A22" s="10" t="s">
        <v>1601</v>
      </c>
    </row>
    <row r="23" spans="1:18" x14ac:dyDescent="0.25">
      <c r="A23" s="6" t="s">
        <v>13</v>
      </c>
      <c r="B23" s="6" t="s">
        <v>1584</v>
      </c>
      <c r="C23" s="6" t="s">
        <v>1602</v>
      </c>
      <c r="D23" s="6" t="s">
        <v>1585</v>
      </c>
      <c r="E23" s="6" t="s">
        <v>1586</v>
      </c>
    </row>
    <row r="24" spans="1:18" x14ac:dyDescent="0.25">
      <c r="A24" s="25" t="s">
        <v>34</v>
      </c>
      <c r="B24" s="13">
        <f>COUNTIF('SCI_Report#BL68LX#jwade#25-MAR-'!N:N,"ESTES EXPRESS LINES")</f>
        <v>184</v>
      </c>
      <c r="C24" s="24">
        <f>B24/B$12</f>
        <v>0.8</v>
      </c>
      <c r="D24" s="14">
        <f>SUMIF('SCI_Report#BL68LX#jwade#25-MAR-'!N:N,"ESTES EXPRESS LINES",'SCI_Report#BL68LX#jwade#25-MAR-'!P:P)</f>
        <v>63832.010000000031</v>
      </c>
      <c r="E24" s="15">
        <f>IF(B24=0,"-",D24/B24)</f>
        <v>346.91309782608715</v>
      </c>
    </row>
    <row r="25" spans="1:18" x14ac:dyDescent="0.25">
      <c r="A25" s="25" t="s">
        <v>1318</v>
      </c>
      <c r="B25" s="13">
        <f>COUNTIF('SCI_Report#BL68LX#jwade#25-MAR-'!N:N,"Southeastern Freight")</f>
        <v>46</v>
      </c>
      <c r="C25" s="24">
        <f>B25/B$12</f>
        <v>0.2</v>
      </c>
      <c r="D25" s="14">
        <f>SUMIF('SCI_Report#BL68LX#jwade#25-MAR-'!N:N,"Southeastern Freight",'SCI_Report#BL68LX#jwade#25-MAR-'!P:P)</f>
        <v>10578.1</v>
      </c>
      <c r="E25" s="15">
        <f>IF(B25=0,"-",D25/B25)</f>
        <v>229.95869565217393</v>
      </c>
    </row>
    <row r="26" spans="1:18" x14ac:dyDescent="0.25">
      <c r="A26" s="20" t="s">
        <v>1603</v>
      </c>
      <c r="B26" s="21">
        <f>SUM(B24:B25)</f>
        <v>230</v>
      </c>
      <c r="C26" s="26">
        <f>SUM(C24:C25)</f>
        <v>1</v>
      </c>
      <c r="D26" s="22">
        <f>SUM(D24:D25)</f>
        <v>74410.11000000003</v>
      </c>
      <c r="E26" s="23">
        <f>IF(B26=0,"-",D26/B26)</f>
        <v>323.52221739130448</v>
      </c>
    </row>
    <row r="28" spans="1:18" ht="18.75" x14ac:dyDescent="0.3">
      <c r="A28" s="10" t="s">
        <v>1604</v>
      </c>
    </row>
    <row r="29" spans="1:18" x14ac:dyDescent="0.25">
      <c r="A29" s="6" t="s">
        <v>1605</v>
      </c>
      <c r="B29" s="6" t="s">
        <v>3</v>
      </c>
      <c r="C29" s="6" t="s">
        <v>1606</v>
      </c>
      <c r="D29" s="6" t="s">
        <v>1584</v>
      </c>
      <c r="E29" s="6" t="s">
        <v>1585</v>
      </c>
      <c r="F29" s="6" t="s">
        <v>1586</v>
      </c>
    </row>
    <row r="30" spans="1:18" x14ac:dyDescent="0.25">
      <c r="A30" s="27">
        <v>1</v>
      </c>
      <c r="B30" s="25" t="s">
        <v>65</v>
      </c>
      <c r="C30" s="25" t="s">
        <v>65</v>
      </c>
      <c r="D30" s="13">
        <f>COUNTIFS('SCI_Report#BL68LX#jwade#25-MAR-'!D:D,"FL",'SCI_Report#BL68LX#jwade#25-MAR-'!G:G,"FL")</f>
        <v>18</v>
      </c>
      <c r="E30" s="14">
        <f>SUMIFS('SCI_Report#BL68LX#jwade#25-MAR-'!P:P,'SCI_Report#BL68LX#jwade#25-MAR-'!D:D,"FL",'SCI_Report#BL68LX#jwade#25-MAR-'!G:G,"FL")</f>
        <v>3252.6099999999997</v>
      </c>
      <c r="F30" s="15">
        <f>IF(D30=0,"-",E30/D30)</f>
        <v>180.70055555555552</v>
      </c>
    </row>
    <row r="31" spans="1:18" x14ac:dyDescent="0.25">
      <c r="A31" s="28">
        <v>2</v>
      </c>
      <c r="B31" s="29" t="s">
        <v>88</v>
      </c>
      <c r="C31" s="29" t="s">
        <v>111</v>
      </c>
      <c r="D31" s="30">
        <f>COUNTIFS('SCI_Report#BL68LX#jwade#25-MAR-'!D:D,"GA",'SCI_Report#BL68LX#jwade#25-MAR-'!G:G,"NC")</f>
        <v>13</v>
      </c>
      <c r="E31" s="31">
        <f>SUMIFS('SCI_Report#BL68LX#jwade#25-MAR-'!P:P,'SCI_Report#BL68LX#jwade#25-MAR-'!D:D,"GA",'SCI_Report#BL68LX#jwade#25-MAR-'!G:G,"NC")</f>
        <v>1937.0500000000002</v>
      </c>
      <c r="F31" s="32">
        <f>IF(D31=0,"-",E31/D31)</f>
        <v>149.00384615384615</v>
      </c>
    </row>
    <row r="32" spans="1:18" x14ac:dyDescent="0.25">
      <c r="A32" s="27">
        <v>3</v>
      </c>
      <c r="B32" s="25" t="s">
        <v>74</v>
      </c>
      <c r="C32" s="25" t="s">
        <v>74</v>
      </c>
      <c r="D32" s="13">
        <f>COUNTIFS('SCI_Report#BL68LX#jwade#25-MAR-'!D:D,"TX",'SCI_Report#BL68LX#jwade#25-MAR-'!G:G,"TX")</f>
        <v>10</v>
      </c>
      <c r="E32" s="14">
        <f>SUMIFS('SCI_Report#BL68LX#jwade#25-MAR-'!P:P,'SCI_Report#BL68LX#jwade#25-MAR-'!D:D,"TX",'SCI_Report#BL68LX#jwade#25-MAR-'!G:G,"TX")</f>
        <v>1523.23</v>
      </c>
      <c r="F32" s="15">
        <f>IF(D32=0,"-",E32/D32)</f>
        <v>152.32300000000001</v>
      </c>
    </row>
    <row r="33" spans="1:6" x14ac:dyDescent="0.25">
      <c r="A33" s="28">
        <v>4</v>
      </c>
      <c r="B33" s="29" t="s">
        <v>98</v>
      </c>
      <c r="C33" s="29" t="s">
        <v>111</v>
      </c>
      <c r="D33" s="30">
        <f>COUNTIFS('SCI_Report#BL68LX#jwade#25-MAR-'!D:D,"TN",'SCI_Report#BL68LX#jwade#25-MAR-'!G:G,"NC")</f>
        <v>9</v>
      </c>
      <c r="E33" s="31">
        <f>SUMIFS('SCI_Report#BL68LX#jwade#25-MAR-'!P:P,'SCI_Report#BL68LX#jwade#25-MAR-'!D:D,"TN",'SCI_Report#BL68LX#jwade#25-MAR-'!G:G,"NC")</f>
        <v>2429</v>
      </c>
      <c r="F33" s="32">
        <f>IF(D33=0,"-",E33/D33)</f>
        <v>269.88888888888891</v>
      </c>
    </row>
    <row r="34" spans="1:6" x14ac:dyDescent="0.25">
      <c r="A34" s="27">
        <v>5</v>
      </c>
      <c r="B34" s="25" t="s">
        <v>132</v>
      </c>
      <c r="C34" s="25" t="s">
        <v>24</v>
      </c>
      <c r="D34" s="13">
        <f>COUNTIFS('SCI_Report#BL68LX#jwade#25-MAR-'!D:D,"IN",'SCI_Report#BL68LX#jwade#25-MAR-'!G:G,"IL")</f>
        <v>8</v>
      </c>
      <c r="E34" s="14">
        <f>SUMIFS('SCI_Report#BL68LX#jwade#25-MAR-'!P:P,'SCI_Report#BL68LX#jwade#25-MAR-'!D:D,"IN",'SCI_Report#BL68LX#jwade#25-MAR-'!G:G,"IL")</f>
        <v>1367.9</v>
      </c>
      <c r="F34" s="15">
        <f>IF(D34=0,"-",E34/D34)</f>
        <v>170.98750000000001</v>
      </c>
    </row>
    <row r="35" spans="1:6" x14ac:dyDescent="0.25">
      <c r="A35" s="28">
        <v>6</v>
      </c>
      <c r="B35" s="29" t="s">
        <v>132</v>
      </c>
      <c r="C35" s="29" t="s">
        <v>42</v>
      </c>
      <c r="D35" s="30">
        <f>COUNTIFS('SCI_Report#BL68LX#jwade#25-MAR-'!D:D,"IN",'SCI_Report#BL68LX#jwade#25-MAR-'!G:G,"PA")</f>
        <v>6</v>
      </c>
      <c r="E35" s="31">
        <f>SUMIFS('SCI_Report#BL68LX#jwade#25-MAR-'!P:P,'SCI_Report#BL68LX#jwade#25-MAR-'!D:D,"IN",'SCI_Report#BL68LX#jwade#25-MAR-'!G:G,"PA")</f>
        <v>2418.36</v>
      </c>
      <c r="F35" s="32">
        <f>IF(D35=0,"-",E35/D35)</f>
        <v>403.06</v>
      </c>
    </row>
    <row r="36" spans="1:6" x14ac:dyDescent="0.25">
      <c r="A36" s="27">
        <v>7</v>
      </c>
      <c r="B36" s="25" t="s">
        <v>42</v>
      </c>
      <c r="C36" s="25" t="s">
        <v>24</v>
      </c>
      <c r="D36" s="13">
        <f>COUNTIFS('SCI_Report#BL68LX#jwade#25-MAR-'!D:D,"PA",'SCI_Report#BL68LX#jwade#25-MAR-'!G:G,"IL")</f>
        <v>5</v>
      </c>
      <c r="E36" s="14">
        <f>SUMIFS('SCI_Report#BL68LX#jwade#25-MAR-'!P:P,'SCI_Report#BL68LX#jwade#25-MAR-'!D:D,"PA",'SCI_Report#BL68LX#jwade#25-MAR-'!G:G,"IL")</f>
        <v>2061.4700000000003</v>
      </c>
      <c r="F36" s="15">
        <f>IF(D36=0,"-",E36/D36)</f>
        <v>412.29400000000004</v>
      </c>
    </row>
    <row r="37" spans="1:6" x14ac:dyDescent="0.25">
      <c r="A37" s="28">
        <v>8</v>
      </c>
      <c r="B37" s="29" t="s">
        <v>42</v>
      </c>
      <c r="C37" s="29" t="s">
        <v>55</v>
      </c>
      <c r="D37" s="30">
        <f>COUNTIFS('SCI_Report#BL68LX#jwade#25-MAR-'!D:D,"PA",'SCI_Report#BL68LX#jwade#25-MAR-'!G:G,"NJ")</f>
        <v>5</v>
      </c>
      <c r="E37" s="31">
        <f>SUMIFS('SCI_Report#BL68LX#jwade#25-MAR-'!P:P,'SCI_Report#BL68LX#jwade#25-MAR-'!D:D,"PA",'SCI_Report#BL68LX#jwade#25-MAR-'!G:G,"NJ")</f>
        <v>2200.75</v>
      </c>
      <c r="F37" s="32">
        <f>IF(D37=0,"-",E37/D37)</f>
        <v>440.15</v>
      </c>
    </row>
    <row r="38" spans="1:6" x14ac:dyDescent="0.25">
      <c r="A38" s="27">
        <v>9</v>
      </c>
      <c r="B38" s="25" t="s">
        <v>132</v>
      </c>
      <c r="C38" s="25" t="s">
        <v>725</v>
      </c>
      <c r="D38" s="13">
        <f>COUNTIFS('SCI_Report#BL68LX#jwade#25-MAR-'!D:D,"IN",'SCI_Report#BL68LX#jwade#25-MAR-'!G:G,"CA")</f>
        <v>4</v>
      </c>
      <c r="E38" s="14">
        <f>SUMIFS('SCI_Report#BL68LX#jwade#25-MAR-'!P:P,'SCI_Report#BL68LX#jwade#25-MAR-'!D:D,"IN",'SCI_Report#BL68LX#jwade#25-MAR-'!G:G,"CA")</f>
        <v>3476.36</v>
      </c>
      <c r="F38" s="15">
        <f>IF(D38=0,"-",E38/D38)</f>
        <v>869.09</v>
      </c>
    </row>
    <row r="39" spans="1:6" x14ac:dyDescent="0.25">
      <c r="A39" s="28">
        <v>10</v>
      </c>
      <c r="B39" s="29" t="s">
        <v>88</v>
      </c>
      <c r="C39" s="29" t="s">
        <v>74</v>
      </c>
      <c r="D39" s="30">
        <f>COUNTIFS('SCI_Report#BL68LX#jwade#25-MAR-'!D:D,"GA",'SCI_Report#BL68LX#jwade#25-MAR-'!G:G,"TX")</f>
        <v>4</v>
      </c>
      <c r="E39" s="31">
        <f>SUMIFS('SCI_Report#BL68LX#jwade#25-MAR-'!P:P,'SCI_Report#BL68LX#jwade#25-MAR-'!D:D,"GA",'SCI_Report#BL68LX#jwade#25-MAR-'!G:G,"TX")</f>
        <v>2683.44</v>
      </c>
      <c r="F39" s="32">
        <f>IF(D39=0,"-",E39/D39)</f>
        <v>670.86</v>
      </c>
    </row>
    <row r="40" spans="1:6" x14ac:dyDescent="0.25">
      <c r="A40" s="27">
        <v>11</v>
      </c>
      <c r="B40" s="25" t="s">
        <v>322</v>
      </c>
      <c r="C40" s="25" t="s">
        <v>111</v>
      </c>
      <c r="D40" s="13">
        <f>COUNTIFS('SCI_Report#BL68LX#jwade#25-MAR-'!D:D,"SC",'SCI_Report#BL68LX#jwade#25-MAR-'!G:G,"NC")</f>
        <v>4</v>
      </c>
      <c r="E40" s="14">
        <f>SUMIFS('SCI_Report#BL68LX#jwade#25-MAR-'!P:P,'SCI_Report#BL68LX#jwade#25-MAR-'!D:D,"SC",'SCI_Report#BL68LX#jwade#25-MAR-'!G:G,"NC")</f>
        <v>521.33000000000004</v>
      </c>
      <c r="F40" s="15">
        <f>IF(D40=0,"-",E40/D40)</f>
        <v>130.33250000000001</v>
      </c>
    </row>
    <row r="41" spans="1:6" x14ac:dyDescent="0.25">
      <c r="A41" s="28">
        <v>12</v>
      </c>
      <c r="B41" s="29" t="s">
        <v>111</v>
      </c>
      <c r="C41" s="29" t="s">
        <v>65</v>
      </c>
      <c r="D41" s="30">
        <f>COUNTIFS('SCI_Report#BL68LX#jwade#25-MAR-'!D:D,"NC",'SCI_Report#BL68LX#jwade#25-MAR-'!G:G,"FL")</f>
        <v>4</v>
      </c>
      <c r="E41" s="31">
        <f>SUMIFS('SCI_Report#BL68LX#jwade#25-MAR-'!P:P,'SCI_Report#BL68LX#jwade#25-MAR-'!D:D,"NC",'SCI_Report#BL68LX#jwade#25-MAR-'!G:G,"FL")</f>
        <v>626.02</v>
      </c>
      <c r="F41" s="32">
        <f>IF(D41=0,"-",E41/D41)</f>
        <v>156.505</v>
      </c>
    </row>
    <row r="42" spans="1:6" x14ac:dyDescent="0.25">
      <c r="A42" s="27">
        <v>13</v>
      </c>
      <c r="B42" s="25" t="s">
        <v>132</v>
      </c>
      <c r="C42" s="25" t="s">
        <v>382</v>
      </c>
      <c r="D42" s="13">
        <f>COUNTIFS('SCI_Report#BL68LX#jwade#25-MAR-'!D:D,"IN",'SCI_Report#BL68LX#jwade#25-MAR-'!G:G,"OH")</f>
        <v>3</v>
      </c>
      <c r="E42" s="14">
        <f>SUMIFS('SCI_Report#BL68LX#jwade#25-MAR-'!P:P,'SCI_Report#BL68LX#jwade#25-MAR-'!D:D,"IN",'SCI_Report#BL68LX#jwade#25-MAR-'!G:G,"OH")</f>
        <v>963.18999999999994</v>
      </c>
      <c r="F42" s="15">
        <f>IF(D42=0,"-",E42/D42)</f>
        <v>321.06333333333333</v>
      </c>
    </row>
    <row r="43" spans="1:6" x14ac:dyDescent="0.25">
      <c r="A43" s="28">
        <v>14</v>
      </c>
      <c r="B43" s="29" t="s">
        <v>132</v>
      </c>
      <c r="C43" s="29" t="s">
        <v>367</v>
      </c>
      <c r="D43" s="30">
        <f>COUNTIFS('SCI_Report#BL68LX#jwade#25-MAR-'!D:D,"IN",'SCI_Report#BL68LX#jwade#25-MAR-'!G:G,"MN")</f>
        <v>3</v>
      </c>
      <c r="E43" s="31">
        <f>SUMIFS('SCI_Report#BL68LX#jwade#25-MAR-'!P:P,'SCI_Report#BL68LX#jwade#25-MAR-'!D:D,"IN",'SCI_Report#BL68LX#jwade#25-MAR-'!G:G,"MN")</f>
        <v>2427.77</v>
      </c>
      <c r="F43" s="32">
        <f>IF(D43=0,"-",E43/D43)</f>
        <v>809.25666666666666</v>
      </c>
    </row>
    <row r="44" spans="1:6" x14ac:dyDescent="0.25">
      <c r="A44" s="27">
        <v>15</v>
      </c>
      <c r="B44" s="25" t="s">
        <v>98</v>
      </c>
      <c r="C44" s="25" t="s">
        <v>42</v>
      </c>
      <c r="D44" s="13">
        <f>COUNTIFS('SCI_Report#BL68LX#jwade#25-MAR-'!D:D,"TN",'SCI_Report#BL68LX#jwade#25-MAR-'!G:G,"PA")</f>
        <v>3</v>
      </c>
      <c r="E44" s="14">
        <f>SUMIFS('SCI_Report#BL68LX#jwade#25-MAR-'!P:P,'SCI_Report#BL68LX#jwade#25-MAR-'!D:D,"TN",'SCI_Report#BL68LX#jwade#25-MAR-'!G:G,"PA")</f>
        <v>1189.5600000000002</v>
      </c>
      <c r="F44" s="15">
        <f>IF(D44=0,"-",E44/D44)</f>
        <v>396.52000000000004</v>
      </c>
    </row>
  </sheetData>
  <mergeCells count="2">
    <mergeCell ref="A1:H1"/>
    <mergeCell ref="A2:H2"/>
  </mergeCells>
  <conditionalFormatting sqref="C16:C20">
    <cfRule type="cellIs" dxfId="13" priority="1" operator="greaterThan">
      <formula>0</formula>
    </cfRule>
  </conditionalFormatting>
  <conditionalFormatting sqref="C16:C20">
    <cfRule type="cellIs" dxfId="12" priority="2" operator="lessThan">
      <formula>0</formula>
    </cfRule>
  </conditionalFormatting>
  <conditionalFormatting sqref="E16:E20">
    <cfRule type="cellIs" dxfId="11" priority="3" operator="greaterThan">
      <formula>0</formula>
    </cfRule>
  </conditionalFormatting>
  <conditionalFormatting sqref="E16:E20">
    <cfRule type="cellIs" dxfId="10" priority="4" operator="lessThan">
      <formula>0</formula>
    </cfRule>
  </conditionalFormatting>
  <conditionalFormatting sqref="F16:F20">
    <cfRule type="cellIs" dxfId="9" priority="5" operator="greaterThan">
      <formula>0</formula>
    </cfRule>
  </conditionalFormatting>
  <conditionalFormatting sqref="F16:F20">
    <cfRule type="cellIs" dxfId="8" priority="6" operator="lessThan">
      <formula>0</formula>
    </cfRule>
  </conditionalFormatting>
  <conditionalFormatting sqref="C16:C20">
    <cfRule type="cellIs" dxfId="7" priority="7" operator="greaterThan">
      <formula>0</formula>
    </cfRule>
  </conditionalFormatting>
  <conditionalFormatting sqref="C16:C20">
    <cfRule type="cellIs" dxfId="6" priority="8" operator="lessThan">
      <formula>0</formula>
    </cfRule>
  </conditionalFormatting>
  <conditionalFormatting sqref="E16:E20">
    <cfRule type="cellIs" dxfId="5" priority="9" operator="greaterThan">
      <formula>0</formula>
    </cfRule>
  </conditionalFormatting>
  <conditionalFormatting sqref="E16:E20">
    <cfRule type="cellIs" dxfId="4" priority="10" operator="lessThan">
      <formula>0</formula>
    </cfRule>
  </conditionalFormatting>
  <conditionalFormatting sqref="F16:F20">
    <cfRule type="cellIs" dxfId="3" priority="11" operator="greaterThan">
      <formula>0</formula>
    </cfRule>
  </conditionalFormatting>
  <conditionalFormatting sqref="F16:F20">
    <cfRule type="cellIs" dxfId="2" priority="12" operator="lessThan">
      <formula>0</formula>
    </cfRule>
  </conditionalFormatting>
  <conditionalFormatting sqref="G16:G20">
    <cfRule type="cellIs" dxfId="1" priority="13" operator="greaterThan">
      <formula>0</formula>
    </cfRule>
  </conditionalFormatting>
  <conditionalFormatting sqref="G16:G20">
    <cfRule type="cellIs" dxfId="0" priority="14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SCI_Report#BL68LX#jwade#25-MAR-</vt:lpstr>
      <vt:lpstr>LTL Trending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Karnes</dc:creator>
  <cp:lastModifiedBy>Joshua Smith</cp:lastModifiedBy>
  <dcterms:created xsi:type="dcterms:W3CDTF">2026-03-25T18:50:30Z</dcterms:created>
  <dcterms:modified xsi:type="dcterms:W3CDTF">2026-03-25T19:42:41Z</dcterms:modified>
</cp:coreProperties>
</file>