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ley.holm\Downloads\"/>
    </mc:Choice>
  </mc:AlternateContent>
  <xr:revisionPtr revIDLastSave="0" documentId="8_{4D5B901C-0094-45B6-8E85-95837EEF8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TL Quo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M12" i="1" l="1"/>
  <c r="M9" i="1"/>
  <c r="M25" i="1"/>
  <c r="M7" i="1"/>
  <c r="M10" i="1"/>
  <c r="M13" i="1"/>
  <c r="M21" i="1"/>
  <c r="M20" i="1"/>
  <c r="M5" i="1"/>
  <c r="M15" i="1"/>
  <c r="M23" i="1"/>
  <c r="M8" i="1"/>
  <c r="M18" i="1"/>
  <c r="M26" i="1"/>
  <c r="M6" i="1"/>
  <c r="M11" i="1"/>
  <c r="M16" i="1"/>
  <c r="M24" i="1"/>
  <c r="M4" i="1"/>
  <c r="M14" i="1"/>
  <c r="M22" i="1"/>
  <c r="M19" i="1"/>
  <c r="M17" i="1"/>
  <c r="M27" i="1"/>
</calcChain>
</file>

<file path=xl/sharedStrings.xml><?xml version="1.0" encoding="utf-8"?>
<sst xmlns="http://schemas.openxmlformats.org/spreadsheetml/2006/main" count="140" uniqueCount="81">
  <si>
    <t>Origin City</t>
  </si>
  <si>
    <t>Origin State</t>
  </si>
  <si>
    <t>Origin Zip</t>
  </si>
  <si>
    <t>XPS AMERICA LTL RATE PROPOSAL</t>
  </si>
  <si>
    <t>Baltimore</t>
  </si>
  <si>
    <t>MD</t>
  </si>
  <si>
    <t>Destination City</t>
  </si>
  <si>
    <t>Destination State</t>
  </si>
  <si>
    <t>Destination Zip</t>
  </si>
  <si>
    <t>1 Pallet Dimensions</t>
  </si>
  <si>
    <t>1 Pallet Weight (lbs)</t>
  </si>
  <si>
    <t>1 Pallet Quote ($)</t>
  </si>
  <si>
    <t>5 Pallets Dimensions</t>
  </si>
  <si>
    <t>5 Pallets Total Weight (lbs)</t>
  </si>
  <si>
    <t>5 Pallets Quote ($)</t>
  </si>
  <si>
    <t>5 Pallets Quote per Pallet ($)</t>
  </si>
  <si>
    <t>1 Pallet Rate per lb ($/lb)</t>
  </si>
  <si>
    <t>5 Pallets Rate per lb ($/lb)</t>
  </si>
  <si>
    <t>Savings per lb vs 1 Pallet (%)</t>
  </si>
  <si>
    <t>Notes</t>
  </si>
  <si>
    <t>Brooklyn</t>
  </si>
  <si>
    <t>NY</t>
  </si>
  <si>
    <t>11205</t>
  </si>
  <si>
    <t>48 x 40 x 83</t>
  </si>
  <si>
    <t>Montgomeryville</t>
  </si>
  <si>
    <t>PA</t>
  </si>
  <si>
    <t>18936</t>
  </si>
  <si>
    <t>Wayne</t>
  </si>
  <si>
    <t>19087</t>
  </si>
  <si>
    <t>Timonium</t>
  </si>
  <si>
    <t>21093</t>
  </si>
  <si>
    <t>Owings Mills</t>
  </si>
  <si>
    <t>21117</t>
  </si>
  <si>
    <t>Charlottesville</t>
  </si>
  <si>
    <t>VA</t>
  </si>
  <si>
    <t>22911</t>
  </si>
  <si>
    <t>Earlysville</t>
  </si>
  <si>
    <t>22936</t>
  </si>
  <si>
    <t>Wilmington</t>
  </si>
  <si>
    <t>NC</t>
  </si>
  <si>
    <t>24803</t>
  </si>
  <si>
    <t>Raleigh</t>
  </si>
  <si>
    <t>27612</t>
  </si>
  <si>
    <t>27617</t>
  </si>
  <si>
    <t>Pineville</t>
  </si>
  <si>
    <t>28134</t>
  </si>
  <si>
    <t>Franklin</t>
  </si>
  <si>
    <t>TN</t>
  </si>
  <si>
    <t>37064</t>
  </si>
  <si>
    <t>Louisville</t>
  </si>
  <si>
    <t>KY</t>
  </si>
  <si>
    <t>40219</t>
  </si>
  <si>
    <t>Fort Wayne</t>
  </si>
  <si>
    <t>IN</t>
  </si>
  <si>
    <t>46818</t>
  </si>
  <si>
    <t>Grand Rapids</t>
  </si>
  <si>
    <t>MI</t>
  </si>
  <si>
    <t>49512</t>
  </si>
  <si>
    <t>Glenview</t>
  </si>
  <si>
    <t>IL</t>
  </si>
  <si>
    <t>60025</t>
  </si>
  <si>
    <t>Chesterfield</t>
  </si>
  <si>
    <t>MO</t>
  </si>
  <si>
    <t>63005</t>
  </si>
  <si>
    <t>Denver</t>
  </si>
  <si>
    <t>CO</t>
  </si>
  <si>
    <t>80222</t>
  </si>
  <si>
    <t>Litchfield Park</t>
  </si>
  <si>
    <t>AZ</t>
  </si>
  <si>
    <t>85340</t>
  </si>
  <si>
    <t>Albuquerque</t>
  </si>
  <si>
    <t>NM</t>
  </si>
  <si>
    <t>87109</t>
  </si>
  <si>
    <t>La Verne</t>
  </si>
  <si>
    <t>CA</t>
  </si>
  <si>
    <t>91750</t>
  </si>
  <si>
    <t>Ontario</t>
  </si>
  <si>
    <t>91764</t>
  </si>
  <si>
    <t>Airway Heights</t>
  </si>
  <si>
    <t>WA</t>
  </si>
  <si>
    <t>99001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</si>
</sst>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pane ySplit="3" topLeftCell="A4" activePane="bottomLeft" state="frozen"/>
      <selection pane="bottomLeft" activeCell="C14" sqref="C14"/>
    </sheetView>
  </sheetViews>
  <sheetFormatPr defaultRowHeight="14.45"/>
  <cols>
    <col min="1" max="1" width="18.7109375" style="1" customWidth="1"/>
    <col min="2" max="2" width="10.7109375" style="1" customWidth="1"/>
    <col min="3" max="3" width="13.7109375" style="1" bestFit="1" customWidth="1"/>
    <col min="4" max="4" width="16.7109375" style="1" customWidth="1"/>
    <col min="5" max="5" width="20.7109375" style="1" customWidth="1"/>
    <col min="6" max="6" width="18.7109375" style="2" customWidth="1"/>
    <col min="7" max="7" width="18.7109375" style="1" customWidth="1"/>
    <col min="8" max="8" width="22.7109375" style="1" customWidth="1"/>
    <col min="9" max="9" width="18.7109375" style="2" customWidth="1"/>
    <col min="10" max="10" width="26.7109375" style="2" customWidth="1"/>
    <col min="11" max="11" width="24.7109375" style="2" customWidth="1"/>
    <col min="12" max="12" width="26.7109375" style="2" customWidth="1"/>
    <col min="13" max="13" width="30.7109375" style="3" customWidth="1"/>
    <col min="14" max="14" width="30.7109375" style="1" customWidth="1"/>
  </cols>
  <sheetData>
    <row r="1" spans="1:16">
      <c r="A1" s="4" t="s">
        <v>0</v>
      </c>
      <c r="B1" s="4" t="s">
        <v>1</v>
      </c>
      <c r="C1" s="5" t="s">
        <v>2</v>
      </c>
      <c r="D1" s="7" t="s">
        <v>3</v>
      </c>
      <c r="E1" s="7"/>
      <c r="F1" s="7"/>
      <c r="G1" s="7"/>
      <c r="H1" s="7"/>
      <c r="I1" s="7"/>
      <c r="J1" s="7"/>
      <c r="K1" s="7"/>
      <c r="L1" s="7"/>
      <c r="M1" s="7"/>
      <c r="N1" s="7"/>
      <c r="O1" s="2"/>
      <c r="P1" s="3"/>
    </row>
    <row r="2" spans="1:16">
      <c r="A2" s="1" t="s">
        <v>4</v>
      </c>
      <c r="B2" s="1" t="s">
        <v>5</v>
      </c>
      <c r="C2" s="6">
        <v>21230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2"/>
      <c r="P2" s="3"/>
    </row>
    <row r="3" spans="1:16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19</v>
      </c>
    </row>
    <row r="4" spans="1:16">
      <c r="A4" s="1" t="s">
        <v>20</v>
      </c>
      <c r="B4" s="1" t="s">
        <v>21</v>
      </c>
      <c r="C4" s="1" t="s">
        <v>22</v>
      </c>
      <c r="D4" s="1" t="s">
        <v>23</v>
      </c>
      <c r="E4" s="1">
        <v>550</v>
      </c>
      <c r="G4" s="1" t="s">
        <v>23</v>
      </c>
      <c r="H4" s="1">
        <v>2750</v>
      </c>
      <c r="J4" s="2" t="str">
        <f t="shared" ref="J4:J27" si="0">IF(I4="","",I4/5)</f>
        <v/>
      </c>
      <c r="K4" s="2" t="str">
        <f t="shared" ref="K4:K27" si="1">IF(F4="","",F4/E4)</f>
        <v/>
      </c>
      <c r="L4" s="2" t="str">
        <f t="shared" ref="L4:L27" si="2">IF(I4="","",I4/H4)</f>
        <v/>
      </c>
      <c r="M4" s="3" t="str">
        <f t="shared" ref="M4:M27" si="3">IF(OR(K4="",L4=""),"",1-(L4/K4))</f>
        <v/>
      </c>
    </row>
    <row r="5" spans="1:16">
      <c r="A5" s="1" t="s">
        <v>24</v>
      </c>
      <c r="B5" s="1" t="s">
        <v>25</v>
      </c>
      <c r="C5" s="1" t="s">
        <v>26</v>
      </c>
      <c r="D5" s="1" t="s">
        <v>23</v>
      </c>
      <c r="E5" s="1">
        <v>550</v>
      </c>
      <c r="G5" s="1" t="s">
        <v>23</v>
      </c>
      <c r="H5" s="1">
        <v>2750</v>
      </c>
      <c r="J5" s="2" t="str">
        <f t="shared" si="0"/>
        <v/>
      </c>
      <c r="K5" s="2" t="str">
        <f t="shared" si="1"/>
        <v/>
      </c>
      <c r="L5" s="2" t="str">
        <f t="shared" si="2"/>
        <v/>
      </c>
      <c r="M5" s="3" t="str">
        <f t="shared" si="3"/>
        <v/>
      </c>
    </row>
    <row r="6" spans="1:16">
      <c r="A6" s="1" t="s">
        <v>27</v>
      </c>
      <c r="B6" s="1" t="s">
        <v>25</v>
      </c>
      <c r="C6" s="1" t="s">
        <v>28</v>
      </c>
      <c r="D6" s="1" t="s">
        <v>23</v>
      </c>
      <c r="E6" s="1">
        <v>550</v>
      </c>
      <c r="G6" s="1" t="s">
        <v>23</v>
      </c>
      <c r="H6" s="1">
        <v>2750</v>
      </c>
      <c r="J6" s="2" t="str">
        <f t="shared" si="0"/>
        <v/>
      </c>
      <c r="K6" s="2" t="str">
        <f t="shared" si="1"/>
        <v/>
      </c>
      <c r="L6" s="2" t="str">
        <f t="shared" si="2"/>
        <v/>
      </c>
      <c r="M6" s="3" t="str">
        <f t="shared" si="3"/>
        <v/>
      </c>
    </row>
    <row r="7" spans="1:16">
      <c r="A7" s="1" t="s">
        <v>29</v>
      </c>
      <c r="B7" s="1" t="s">
        <v>5</v>
      </c>
      <c r="C7" s="1" t="s">
        <v>30</v>
      </c>
      <c r="D7" s="1" t="s">
        <v>23</v>
      </c>
      <c r="E7" s="1">
        <v>550</v>
      </c>
      <c r="G7" s="1" t="s">
        <v>23</v>
      </c>
      <c r="H7" s="1">
        <v>2750</v>
      </c>
      <c r="J7" s="2" t="str">
        <f t="shared" si="0"/>
        <v/>
      </c>
      <c r="K7" s="2" t="str">
        <f t="shared" si="1"/>
        <v/>
      </c>
      <c r="L7" s="2" t="str">
        <f t="shared" si="2"/>
        <v/>
      </c>
      <c r="M7" s="3" t="str">
        <f t="shared" si="3"/>
        <v/>
      </c>
    </row>
    <row r="8" spans="1:16">
      <c r="A8" s="1" t="s">
        <v>31</v>
      </c>
      <c r="B8" s="1" t="s">
        <v>5</v>
      </c>
      <c r="C8" s="1" t="s">
        <v>32</v>
      </c>
      <c r="D8" s="1" t="s">
        <v>23</v>
      </c>
      <c r="E8" s="1">
        <v>550</v>
      </c>
      <c r="G8" s="1" t="s">
        <v>23</v>
      </c>
      <c r="H8" s="1">
        <v>2750</v>
      </c>
      <c r="J8" s="2" t="str">
        <f t="shared" si="0"/>
        <v/>
      </c>
      <c r="K8" s="2" t="str">
        <f t="shared" si="1"/>
        <v/>
      </c>
      <c r="L8" s="2" t="str">
        <f t="shared" si="2"/>
        <v/>
      </c>
      <c r="M8" s="3" t="str">
        <f t="shared" si="3"/>
        <v/>
      </c>
    </row>
    <row r="9" spans="1:16">
      <c r="A9" s="1" t="s">
        <v>33</v>
      </c>
      <c r="B9" s="1" t="s">
        <v>34</v>
      </c>
      <c r="C9" s="1" t="s">
        <v>35</v>
      </c>
      <c r="D9" s="1" t="s">
        <v>23</v>
      </c>
      <c r="E9" s="1">
        <v>550</v>
      </c>
      <c r="G9" s="1" t="s">
        <v>23</v>
      </c>
      <c r="H9" s="1">
        <v>2750</v>
      </c>
      <c r="J9" s="2" t="str">
        <f t="shared" si="0"/>
        <v/>
      </c>
      <c r="K9" s="2" t="str">
        <f t="shared" si="1"/>
        <v/>
      </c>
      <c r="L9" s="2" t="str">
        <f t="shared" si="2"/>
        <v/>
      </c>
      <c r="M9" s="3" t="str">
        <f t="shared" si="3"/>
        <v/>
      </c>
    </row>
    <row r="10" spans="1:16">
      <c r="A10" s="1" t="s">
        <v>36</v>
      </c>
      <c r="B10" s="1" t="s">
        <v>34</v>
      </c>
      <c r="C10" s="1" t="s">
        <v>37</v>
      </c>
      <c r="D10" s="1" t="s">
        <v>23</v>
      </c>
      <c r="E10" s="1">
        <v>550</v>
      </c>
      <c r="G10" s="1" t="s">
        <v>23</v>
      </c>
      <c r="H10" s="1">
        <v>2750</v>
      </c>
      <c r="J10" s="2" t="str">
        <f t="shared" si="0"/>
        <v/>
      </c>
      <c r="K10" s="2" t="str">
        <f t="shared" si="1"/>
        <v/>
      </c>
      <c r="L10" s="2" t="str">
        <f t="shared" si="2"/>
        <v/>
      </c>
      <c r="M10" s="3" t="str">
        <f t="shared" si="3"/>
        <v/>
      </c>
    </row>
    <row r="11" spans="1:16">
      <c r="A11" s="1" t="s">
        <v>38</v>
      </c>
      <c r="B11" s="1" t="s">
        <v>39</v>
      </c>
      <c r="C11" s="1" t="s">
        <v>40</v>
      </c>
      <c r="D11" s="1" t="s">
        <v>23</v>
      </c>
      <c r="E11" s="1">
        <v>550</v>
      </c>
      <c r="G11" s="1" t="s">
        <v>23</v>
      </c>
      <c r="H11" s="1">
        <v>2750</v>
      </c>
      <c r="J11" s="2" t="str">
        <f t="shared" si="0"/>
        <v/>
      </c>
      <c r="K11" s="2" t="str">
        <f t="shared" si="1"/>
        <v/>
      </c>
      <c r="L11" s="2" t="str">
        <f t="shared" si="2"/>
        <v/>
      </c>
      <c r="M11" s="3" t="str">
        <f t="shared" si="3"/>
        <v/>
      </c>
    </row>
    <row r="12" spans="1:16">
      <c r="A12" s="1" t="s">
        <v>41</v>
      </c>
      <c r="B12" s="1" t="s">
        <v>39</v>
      </c>
      <c r="C12" s="1" t="s">
        <v>42</v>
      </c>
      <c r="D12" s="1" t="s">
        <v>23</v>
      </c>
      <c r="E12" s="1">
        <v>550</v>
      </c>
      <c r="G12" s="1" t="s">
        <v>23</v>
      </c>
      <c r="H12" s="1">
        <v>2750</v>
      </c>
      <c r="J12" s="2" t="str">
        <f t="shared" si="0"/>
        <v/>
      </c>
      <c r="K12" s="2" t="str">
        <f t="shared" si="1"/>
        <v/>
      </c>
      <c r="L12" s="2" t="str">
        <f t="shared" si="2"/>
        <v/>
      </c>
      <c r="M12" s="3" t="str">
        <f t="shared" si="3"/>
        <v/>
      </c>
    </row>
    <row r="13" spans="1:16">
      <c r="A13" s="1" t="s">
        <v>41</v>
      </c>
      <c r="B13" s="1" t="s">
        <v>39</v>
      </c>
      <c r="C13" s="1" t="s">
        <v>43</v>
      </c>
      <c r="D13" s="1" t="s">
        <v>23</v>
      </c>
      <c r="E13" s="1">
        <v>550</v>
      </c>
      <c r="G13" s="1" t="s">
        <v>23</v>
      </c>
      <c r="H13" s="1">
        <v>2750</v>
      </c>
      <c r="J13" s="2" t="str">
        <f t="shared" si="0"/>
        <v/>
      </c>
      <c r="K13" s="2" t="str">
        <f t="shared" si="1"/>
        <v/>
      </c>
      <c r="L13" s="2" t="str">
        <f t="shared" si="2"/>
        <v/>
      </c>
      <c r="M13" s="3" t="str">
        <f t="shared" si="3"/>
        <v/>
      </c>
    </row>
    <row r="14" spans="1:16">
      <c r="A14" s="1" t="s">
        <v>44</v>
      </c>
      <c r="B14" s="1" t="s">
        <v>39</v>
      </c>
      <c r="C14" s="1" t="s">
        <v>45</v>
      </c>
      <c r="D14" s="1" t="s">
        <v>23</v>
      </c>
      <c r="E14" s="1">
        <v>550</v>
      </c>
      <c r="G14" s="1" t="s">
        <v>23</v>
      </c>
      <c r="H14" s="1">
        <v>2750</v>
      </c>
      <c r="J14" s="2" t="str">
        <f t="shared" si="0"/>
        <v/>
      </c>
      <c r="K14" s="2" t="str">
        <f t="shared" si="1"/>
        <v/>
      </c>
      <c r="L14" s="2" t="str">
        <f t="shared" si="2"/>
        <v/>
      </c>
      <c r="M14" s="3" t="str">
        <f t="shared" si="3"/>
        <v/>
      </c>
    </row>
    <row r="15" spans="1:16">
      <c r="A15" s="1" t="s">
        <v>46</v>
      </c>
      <c r="B15" s="1" t="s">
        <v>47</v>
      </c>
      <c r="C15" s="1" t="s">
        <v>48</v>
      </c>
      <c r="D15" s="1" t="s">
        <v>23</v>
      </c>
      <c r="E15" s="1">
        <v>550</v>
      </c>
      <c r="G15" s="1" t="s">
        <v>23</v>
      </c>
      <c r="H15" s="1">
        <v>2750</v>
      </c>
      <c r="J15" s="2" t="str">
        <f t="shared" si="0"/>
        <v/>
      </c>
      <c r="K15" s="2" t="str">
        <f t="shared" si="1"/>
        <v/>
      </c>
      <c r="L15" s="2" t="str">
        <f t="shared" si="2"/>
        <v/>
      </c>
      <c r="M15" s="3" t="str">
        <f t="shared" si="3"/>
        <v/>
      </c>
    </row>
    <row r="16" spans="1:16">
      <c r="A16" s="1" t="s">
        <v>49</v>
      </c>
      <c r="B16" s="1" t="s">
        <v>50</v>
      </c>
      <c r="C16" s="1" t="s">
        <v>51</v>
      </c>
      <c r="D16" s="1" t="s">
        <v>23</v>
      </c>
      <c r="E16" s="1">
        <v>550</v>
      </c>
      <c r="G16" s="1" t="s">
        <v>23</v>
      </c>
      <c r="H16" s="1">
        <v>2750</v>
      </c>
      <c r="J16" s="2" t="str">
        <f t="shared" si="0"/>
        <v/>
      </c>
      <c r="K16" s="2" t="str">
        <f t="shared" si="1"/>
        <v/>
      </c>
      <c r="L16" s="2" t="str">
        <f t="shared" si="2"/>
        <v/>
      </c>
      <c r="M16" s="3" t="str">
        <f t="shared" si="3"/>
        <v/>
      </c>
    </row>
    <row r="17" spans="1:13">
      <c r="A17" s="1" t="s">
        <v>52</v>
      </c>
      <c r="B17" s="1" t="s">
        <v>53</v>
      </c>
      <c r="C17" s="1" t="s">
        <v>54</v>
      </c>
      <c r="D17" s="1" t="s">
        <v>23</v>
      </c>
      <c r="E17" s="1">
        <v>550</v>
      </c>
      <c r="G17" s="1" t="s">
        <v>23</v>
      </c>
      <c r="H17" s="1">
        <v>2750</v>
      </c>
      <c r="J17" s="2" t="str">
        <f t="shared" si="0"/>
        <v/>
      </c>
      <c r="K17" s="2" t="str">
        <f t="shared" si="1"/>
        <v/>
      </c>
      <c r="L17" s="2" t="str">
        <f t="shared" si="2"/>
        <v/>
      </c>
      <c r="M17" s="3" t="str">
        <f t="shared" si="3"/>
        <v/>
      </c>
    </row>
    <row r="18" spans="1:13">
      <c r="A18" s="1" t="s">
        <v>55</v>
      </c>
      <c r="B18" s="1" t="s">
        <v>56</v>
      </c>
      <c r="C18" s="1" t="s">
        <v>57</v>
      </c>
      <c r="D18" s="1" t="s">
        <v>23</v>
      </c>
      <c r="E18" s="1">
        <v>550</v>
      </c>
      <c r="G18" s="1" t="s">
        <v>23</v>
      </c>
      <c r="H18" s="1">
        <v>2750</v>
      </c>
      <c r="J18" s="2" t="str">
        <f t="shared" si="0"/>
        <v/>
      </c>
      <c r="K18" s="2" t="str">
        <f t="shared" si="1"/>
        <v/>
      </c>
      <c r="L18" s="2" t="str">
        <f t="shared" si="2"/>
        <v/>
      </c>
      <c r="M18" s="3" t="str">
        <f t="shared" si="3"/>
        <v/>
      </c>
    </row>
    <row r="19" spans="1:13">
      <c r="A19" s="1" t="s">
        <v>58</v>
      </c>
      <c r="B19" s="1" t="s">
        <v>59</v>
      </c>
      <c r="C19" s="1" t="s">
        <v>60</v>
      </c>
      <c r="D19" s="1" t="s">
        <v>23</v>
      </c>
      <c r="E19" s="1">
        <v>550</v>
      </c>
      <c r="G19" s="1" t="s">
        <v>23</v>
      </c>
      <c r="H19" s="1">
        <v>2750</v>
      </c>
      <c r="J19" s="2" t="str">
        <f t="shared" si="0"/>
        <v/>
      </c>
      <c r="K19" s="2" t="str">
        <f t="shared" si="1"/>
        <v/>
      </c>
      <c r="L19" s="2" t="str">
        <f t="shared" si="2"/>
        <v/>
      </c>
      <c r="M19" s="3" t="str">
        <f t="shared" si="3"/>
        <v/>
      </c>
    </row>
    <row r="20" spans="1:13">
      <c r="A20" s="1" t="s">
        <v>61</v>
      </c>
      <c r="B20" s="1" t="s">
        <v>62</v>
      </c>
      <c r="C20" s="1" t="s">
        <v>63</v>
      </c>
      <c r="D20" s="1" t="s">
        <v>23</v>
      </c>
      <c r="E20" s="1">
        <v>550</v>
      </c>
      <c r="G20" s="1" t="s">
        <v>23</v>
      </c>
      <c r="H20" s="1">
        <v>2750</v>
      </c>
      <c r="J20" s="2" t="str">
        <f t="shared" si="0"/>
        <v/>
      </c>
      <c r="K20" s="2" t="str">
        <f t="shared" si="1"/>
        <v/>
      </c>
      <c r="L20" s="2" t="str">
        <f t="shared" si="2"/>
        <v/>
      </c>
      <c r="M20" s="3" t="str">
        <f t="shared" si="3"/>
        <v/>
      </c>
    </row>
    <row r="21" spans="1:13">
      <c r="A21" s="1" t="s">
        <v>61</v>
      </c>
      <c r="B21" s="1" t="s">
        <v>62</v>
      </c>
      <c r="C21" s="1" t="s">
        <v>63</v>
      </c>
      <c r="D21" s="1" t="s">
        <v>23</v>
      </c>
      <c r="E21" s="1">
        <v>550</v>
      </c>
      <c r="G21" s="1" t="s">
        <v>23</v>
      </c>
      <c r="H21" s="1">
        <v>2750</v>
      </c>
      <c r="J21" s="2" t="str">
        <f t="shared" si="0"/>
        <v/>
      </c>
      <c r="K21" s="2" t="str">
        <f t="shared" si="1"/>
        <v/>
      </c>
      <c r="L21" s="2" t="str">
        <f t="shared" si="2"/>
        <v/>
      </c>
      <c r="M21" s="3" t="str">
        <f t="shared" si="3"/>
        <v/>
      </c>
    </row>
    <row r="22" spans="1:13">
      <c r="A22" s="1" t="s">
        <v>64</v>
      </c>
      <c r="B22" s="1" t="s">
        <v>65</v>
      </c>
      <c r="C22" s="1" t="s">
        <v>66</v>
      </c>
      <c r="D22" s="1" t="s">
        <v>23</v>
      </c>
      <c r="E22" s="1">
        <v>550</v>
      </c>
      <c r="G22" s="1" t="s">
        <v>23</v>
      </c>
      <c r="H22" s="1">
        <v>2750</v>
      </c>
      <c r="J22" s="2" t="str">
        <f t="shared" si="0"/>
        <v/>
      </c>
      <c r="K22" s="2" t="str">
        <f t="shared" si="1"/>
        <v/>
      </c>
      <c r="L22" s="2" t="str">
        <f t="shared" si="2"/>
        <v/>
      </c>
      <c r="M22" s="3" t="str">
        <f t="shared" si="3"/>
        <v/>
      </c>
    </row>
    <row r="23" spans="1:13">
      <c r="A23" s="1" t="s">
        <v>67</v>
      </c>
      <c r="B23" s="1" t="s">
        <v>68</v>
      </c>
      <c r="C23" s="1" t="s">
        <v>69</v>
      </c>
      <c r="D23" s="1" t="s">
        <v>23</v>
      </c>
      <c r="E23" s="1">
        <v>550</v>
      </c>
      <c r="G23" s="1" t="s">
        <v>23</v>
      </c>
      <c r="H23" s="1">
        <v>2750</v>
      </c>
      <c r="J23" s="2" t="str">
        <f t="shared" si="0"/>
        <v/>
      </c>
      <c r="K23" s="2" t="str">
        <f t="shared" si="1"/>
        <v/>
      </c>
      <c r="L23" s="2" t="str">
        <f t="shared" si="2"/>
        <v/>
      </c>
      <c r="M23" s="3" t="str">
        <f t="shared" si="3"/>
        <v/>
      </c>
    </row>
    <row r="24" spans="1:13">
      <c r="A24" s="1" t="s">
        <v>70</v>
      </c>
      <c r="B24" s="1" t="s">
        <v>71</v>
      </c>
      <c r="C24" s="1" t="s">
        <v>72</v>
      </c>
      <c r="D24" s="1" t="s">
        <v>23</v>
      </c>
      <c r="E24" s="1">
        <v>550</v>
      </c>
      <c r="G24" s="1" t="s">
        <v>23</v>
      </c>
      <c r="H24" s="1">
        <v>2750</v>
      </c>
      <c r="J24" s="2" t="str">
        <f t="shared" si="0"/>
        <v/>
      </c>
      <c r="K24" s="2" t="str">
        <f t="shared" si="1"/>
        <v/>
      </c>
      <c r="L24" s="2" t="str">
        <f t="shared" si="2"/>
        <v/>
      </c>
      <c r="M24" s="3" t="str">
        <f t="shared" si="3"/>
        <v/>
      </c>
    </row>
    <row r="25" spans="1:13">
      <c r="A25" s="1" t="s">
        <v>73</v>
      </c>
      <c r="B25" s="1" t="s">
        <v>74</v>
      </c>
      <c r="C25" s="1" t="s">
        <v>75</v>
      </c>
      <c r="D25" s="1" t="s">
        <v>23</v>
      </c>
      <c r="E25" s="1">
        <v>550</v>
      </c>
      <c r="G25" s="1" t="s">
        <v>23</v>
      </c>
      <c r="H25" s="1">
        <v>2750</v>
      </c>
      <c r="J25" s="2" t="str">
        <f t="shared" si="0"/>
        <v/>
      </c>
      <c r="K25" s="2" t="str">
        <f t="shared" si="1"/>
        <v/>
      </c>
      <c r="L25" s="2" t="str">
        <f t="shared" si="2"/>
        <v/>
      </c>
      <c r="M25" s="3" t="str">
        <f t="shared" si="3"/>
        <v/>
      </c>
    </row>
    <row r="26" spans="1:13">
      <c r="A26" s="1" t="s">
        <v>76</v>
      </c>
      <c r="B26" s="1" t="s">
        <v>74</v>
      </c>
      <c r="C26" s="1" t="s">
        <v>77</v>
      </c>
      <c r="D26" s="1" t="s">
        <v>23</v>
      </c>
      <c r="E26" s="1">
        <v>550</v>
      </c>
      <c r="G26" s="1" t="s">
        <v>23</v>
      </c>
      <c r="H26" s="1">
        <v>2750</v>
      </c>
      <c r="J26" s="2" t="str">
        <f t="shared" si="0"/>
        <v/>
      </c>
      <c r="K26" s="2" t="str">
        <f t="shared" si="1"/>
        <v/>
      </c>
      <c r="L26" s="2" t="str">
        <f t="shared" si="2"/>
        <v/>
      </c>
      <c r="M26" s="3" t="str">
        <f t="shared" si="3"/>
        <v/>
      </c>
    </row>
    <row r="27" spans="1:13">
      <c r="A27" s="1" t="s">
        <v>78</v>
      </c>
      <c r="B27" s="1" t="s">
        <v>79</v>
      </c>
      <c r="C27" s="1" t="s">
        <v>80</v>
      </c>
      <c r="D27" s="1" t="s">
        <v>23</v>
      </c>
      <c r="E27" s="1">
        <v>550</v>
      </c>
      <c r="G27" s="1" t="s">
        <v>23</v>
      </c>
      <c r="H27" s="1">
        <v>2750</v>
      </c>
      <c r="J27" s="2" t="str">
        <f t="shared" si="0"/>
        <v/>
      </c>
      <c r="K27" s="2" t="str">
        <f t="shared" si="1"/>
        <v/>
      </c>
      <c r="L27" s="2" t="str">
        <f t="shared" si="2"/>
        <v/>
      </c>
      <c r="M27" s="3" t="str">
        <f t="shared" si="3"/>
        <v/>
      </c>
    </row>
  </sheetData>
  <mergeCells count="1">
    <mergeCell ref="D1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edabc6-4ebc-4d0f-b9b8-ddd5a103d9b5">
      <Terms xmlns="http://schemas.microsoft.com/office/infopath/2007/PartnerControls"/>
    </lcf76f155ced4ddcb4097134ff3c332f>
    <TaxCatchAll xmlns="1ab7f1fe-d7ee-424c-b08d-ffaac03486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AD56E4F774547844CFEA9F90C109B" ma:contentTypeVersion="16" ma:contentTypeDescription="Create a new document." ma:contentTypeScope="" ma:versionID="dd1382048c7adfbfcc1ae4c1f7287ed9">
  <xsd:schema xmlns:xsd="http://www.w3.org/2001/XMLSchema" xmlns:xs="http://www.w3.org/2001/XMLSchema" xmlns:p="http://schemas.microsoft.com/office/2006/metadata/properties" xmlns:ns2="41edabc6-4ebc-4d0f-b9b8-ddd5a103d9b5" xmlns:ns3="1ab7f1fe-d7ee-424c-b08d-ffaac034865f" targetNamespace="http://schemas.microsoft.com/office/2006/metadata/properties" ma:root="true" ma:fieldsID="8529f487f6f0a5e3a7a1113888d8853b" ns2:_="" ns3:_="">
    <xsd:import namespace="41edabc6-4ebc-4d0f-b9b8-ddd5a103d9b5"/>
    <xsd:import namespace="1ab7f1fe-d7ee-424c-b08d-ffaac03486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abc6-4ebc-4d0f-b9b8-ddd5a103d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92e087d-97bc-49a7-85cd-9bd4c3a481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7f1fe-d7ee-424c-b08d-ffaac034865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f6c51c-3867-44b0-b1bd-07d12d393927}" ma:internalName="TaxCatchAll" ma:showField="CatchAllData" ma:web="1ab7f1fe-d7ee-424c-b08d-ffaac03486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C40D8E-CEF5-4A03-8C09-A7DEFBEE6C3A}"/>
</file>

<file path=customXml/itemProps2.xml><?xml version="1.0" encoding="utf-8"?>
<ds:datastoreItem xmlns:ds="http://schemas.openxmlformats.org/officeDocument/2006/customXml" ds:itemID="{0C4B2809-AD7A-4194-8E2E-FA512DE90A5D}"/>
</file>

<file path=customXml/itemProps3.xml><?xml version="1.0" encoding="utf-8"?>
<ds:datastoreItem xmlns:ds="http://schemas.openxmlformats.org/officeDocument/2006/customXml" ds:itemID="{96DED22D-13CC-4B74-ACEB-245C61E92A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Holm (Nolan Transportation Group)</dc:creator>
  <cp:keywords/>
  <dc:description/>
  <cp:lastModifiedBy/>
  <cp:revision/>
  <dcterms:created xsi:type="dcterms:W3CDTF">2025-12-10T16:16:37Z</dcterms:created>
  <dcterms:modified xsi:type="dcterms:W3CDTF">2026-04-30T13:40:20Z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0x010100955AD56E4F774547844CFEA9F90C109B</vt:lpwstr>
  </property>
  <property fmtid="{D5CDD505-2E9C-101B-9397-08002B2CF9AE}" pid="3" name="MediaServiceImageTags">
    <vt:lpwstr/>
  </property>
</Properties>
</file>